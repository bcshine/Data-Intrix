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11.projects\Data-Intrix\"/>
    </mc:Choice>
  </mc:AlternateContent>
  <xr:revisionPtr revIDLastSave="0" documentId="8_{02061FBD-D0FA-4DE9-AB7F-F34D324EC86D}" xr6:coauthVersionLast="47" xr6:coauthVersionMax="47" xr10:uidLastSave="{00000000-0000-0000-0000-000000000000}"/>
  <bookViews>
    <workbookView xWindow="-120" yWindow="-120" windowWidth="57840" windowHeight="15720" xr2:uid="{8115A714-3428-4261-8169-0D52B9E8760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1" i="1" l="1"/>
  <c r="B210" i="1"/>
  <c r="B209" i="1"/>
  <c r="B208" i="1"/>
  <c r="B207" i="1"/>
  <c r="C206" i="1"/>
  <c r="B206" i="1"/>
  <c r="C220" i="1" s="1"/>
  <c r="B205" i="1"/>
  <c r="B204" i="1"/>
  <c r="A175" i="1" a="1"/>
  <c r="A175" i="1" s="1"/>
  <c r="A174" i="1" a="1"/>
  <c r="A174" i="1" s="1"/>
  <c r="A173" i="1"/>
  <c r="A170" i="1" a="1"/>
  <c r="A170" i="1" s="1"/>
  <c r="A169" i="1" a="1"/>
  <c r="A169" i="1" s="1"/>
  <c r="A168" i="1" a="1"/>
  <c r="A168" i="1" s="1"/>
  <c r="A165" i="1" a="1"/>
  <c r="A165" i="1" s="1"/>
  <c r="A164" i="1" a="1"/>
  <c r="A164" i="1" s="1"/>
  <c r="A163" i="1" a="1"/>
  <c r="A163" i="1" s="1"/>
  <c r="E157" i="1"/>
  <c r="D157" i="1"/>
  <c r="F157" i="1" s="1"/>
  <c r="C157" i="1"/>
  <c r="B157" i="1"/>
  <c r="E156" i="1"/>
  <c r="D156" i="1"/>
  <c r="F156" i="1" s="1"/>
  <c r="C156" i="1"/>
  <c r="B156" i="1"/>
  <c r="E150" i="1"/>
  <c r="D150" i="1"/>
  <c r="F150" i="1" s="1"/>
  <c r="C150" i="1"/>
  <c r="B150" i="1"/>
  <c r="E149" i="1"/>
  <c r="D149" i="1"/>
  <c r="F149" i="1" s="1"/>
  <c r="C149" i="1"/>
  <c r="B149" i="1"/>
  <c r="E148" i="1"/>
  <c r="D148" i="1"/>
  <c r="F148" i="1" s="1"/>
  <c r="C148" i="1"/>
  <c r="B148" i="1"/>
  <c r="E147" i="1"/>
  <c r="D147" i="1"/>
  <c r="F147" i="1" s="1"/>
  <c r="C147" i="1"/>
  <c r="B147" i="1"/>
  <c r="E146" i="1"/>
  <c r="D146" i="1"/>
  <c r="F146" i="1" s="1"/>
  <c r="C146" i="1"/>
  <c r="B146" i="1"/>
  <c r="E145" i="1"/>
  <c r="D145" i="1"/>
  <c r="F145" i="1" s="1"/>
  <c r="C145" i="1"/>
  <c r="B145" i="1"/>
  <c r="B103" i="1"/>
  <c r="B102" i="1"/>
  <c r="B101" i="1"/>
  <c r="B100" i="1"/>
  <c r="B99" i="1"/>
  <c r="B92" i="1"/>
  <c r="C92" i="1" s="1"/>
  <c r="B91" i="1"/>
  <c r="B90" i="1"/>
  <c r="B89" i="1"/>
  <c r="C89" i="1" s="1"/>
  <c r="B88" i="1"/>
  <c r="C88" i="1" s="1"/>
  <c r="B87" i="1"/>
  <c r="C87" i="1" s="1"/>
  <c r="B86" i="1"/>
  <c r="C86" i="1" s="1"/>
  <c r="B85" i="1"/>
  <c r="B93" i="1" s="1"/>
  <c r="J79" i="1"/>
  <c r="I79" i="1"/>
  <c r="H79" i="1"/>
  <c r="G79" i="1"/>
  <c r="F79" i="1"/>
  <c r="E79" i="1"/>
  <c r="D79" i="1"/>
  <c r="C79" i="1"/>
  <c r="B79" i="1"/>
  <c r="J78" i="1"/>
  <c r="I78" i="1"/>
  <c r="H78" i="1"/>
  <c r="G78" i="1"/>
  <c r="F78" i="1"/>
  <c r="E78" i="1"/>
  <c r="D78" i="1"/>
  <c r="C78" i="1"/>
  <c r="B78" i="1"/>
  <c r="J77" i="1"/>
  <c r="I77" i="1"/>
  <c r="H77" i="1"/>
  <c r="G77" i="1"/>
  <c r="F77" i="1"/>
  <c r="E77" i="1"/>
  <c r="D77" i="1"/>
  <c r="C77" i="1"/>
  <c r="B77" i="1"/>
  <c r="J76" i="1"/>
  <c r="I76" i="1"/>
  <c r="H76" i="1"/>
  <c r="G76" i="1"/>
  <c r="F76" i="1"/>
  <c r="E76" i="1"/>
  <c r="D76" i="1"/>
  <c r="C76" i="1"/>
  <c r="B76" i="1"/>
  <c r="J75" i="1"/>
  <c r="I75" i="1"/>
  <c r="H75" i="1"/>
  <c r="G75" i="1"/>
  <c r="F75" i="1"/>
  <c r="E75" i="1"/>
  <c r="D75" i="1"/>
  <c r="C75" i="1"/>
  <c r="B75" i="1"/>
  <c r="J74" i="1"/>
  <c r="I74" i="1"/>
  <c r="H74" i="1"/>
  <c r="G74" i="1"/>
  <c r="F74" i="1"/>
  <c r="E74" i="1"/>
  <c r="D74" i="1"/>
  <c r="C74" i="1"/>
  <c r="B74" i="1"/>
  <c r="J73" i="1"/>
  <c r="I73" i="1"/>
  <c r="H73" i="1"/>
  <c r="G73" i="1"/>
  <c r="F73" i="1"/>
  <c r="E73" i="1"/>
  <c r="D73" i="1"/>
  <c r="C73" i="1"/>
  <c r="B73" i="1"/>
  <c r="J72" i="1"/>
  <c r="I72" i="1"/>
  <c r="H72" i="1"/>
  <c r="G72" i="1"/>
  <c r="F72" i="1"/>
  <c r="E72" i="1"/>
  <c r="D72" i="1"/>
  <c r="C72" i="1"/>
  <c r="B72" i="1"/>
  <c r="J71" i="1"/>
  <c r="I71" i="1"/>
  <c r="H71" i="1"/>
  <c r="G71" i="1"/>
  <c r="F71" i="1"/>
  <c r="E71" i="1"/>
  <c r="D71" i="1"/>
  <c r="C71" i="1"/>
  <c r="B71" i="1"/>
  <c r="A62" i="1" a="1"/>
  <c r="A62" i="1" s="1"/>
  <c r="A61" i="1" a="1"/>
  <c r="A61" i="1" s="1"/>
  <c r="A60" i="1" a="1"/>
  <c r="A60" i="1" s="1"/>
  <c r="A55" i="1" a="1"/>
  <c r="A55" i="1" s="1"/>
  <c r="E44" i="1"/>
  <c r="F44" i="1" s="1"/>
  <c r="D44" i="1"/>
  <c r="C44" i="1"/>
  <c r="B44" i="1"/>
  <c r="F43" i="1"/>
  <c r="E43" i="1"/>
  <c r="D43" i="1"/>
  <c r="C43" i="1"/>
  <c r="B43" i="1"/>
  <c r="E42" i="1"/>
  <c r="F42" i="1" s="1"/>
  <c r="D42" i="1"/>
  <c r="C42" i="1"/>
  <c r="B42" i="1"/>
  <c r="E41" i="1"/>
  <c r="F41" i="1" s="1"/>
  <c r="D41" i="1"/>
  <c r="C41" i="1"/>
  <c r="B41" i="1"/>
  <c r="E40" i="1"/>
  <c r="F40" i="1" s="1"/>
  <c r="D40" i="1"/>
  <c r="C40" i="1"/>
  <c r="B40" i="1"/>
  <c r="E39" i="1"/>
  <c r="F39" i="1" s="1"/>
  <c r="D39" i="1"/>
  <c r="C39" i="1"/>
  <c r="B39" i="1"/>
  <c r="E38" i="1"/>
  <c r="F38" i="1" s="1"/>
  <c r="D38" i="1"/>
  <c r="C38" i="1"/>
  <c r="B38" i="1"/>
  <c r="E37" i="1"/>
  <c r="F37" i="1" s="1"/>
  <c r="D37" i="1"/>
  <c r="C37" i="1"/>
  <c r="B37" i="1"/>
  <c r="B29" i="1"/>
  <c r="C29" i="1" s="1"/>
  <c r="B225" i="1" s="1"/>
  <c r="B28" i="1"/>
  <c r="C28" i="1" s="1"/>
  <c r="B224" i="1" s="1"/>
  <c r="B27" i="1"/>
  <c r="C27" i="1" s="1"/>
  <c r="B223" i="1" s="1"/>
  <c r="B26" i="1"/>
  <c r="C26" i="1" s="1"/>
  <c r="B222" i="1" s="1"/>
  <c r="B25" i="1"/>
  <c r="C25" i="1" s="1"/>
  <c r="B221" i="1" s="1"/>
  <c r="B24" i="1"/>
  <c r="C24" i="1" s="1"/>
  <c r="B220" i="1" s="1"/>
  <c r="D220" i="1" s="1"/>
  <c r="B23" i="1"/>
  <c r="C23" i="1" s="1"/>
  <c r="B219" i="1" s="1"/>
  <c r="B22" i="1"/>
  <c r="J16" i="1"/>
  <c r="J15" i="1"/>
  <c r="J14" i="1"/>
  <c r="J13" i="1"/>
  <c r="J12" i="1"/>
  <c r="J11" i="1"/>
  <c r="J10" i="1"/>
  <c r="J9" i="1"/>
  <c r="C225" i="1" l="1"/>
  <c r="D225" i="1" s="1"/>
  <c r="C211" i="1"/>
  <c r="C224" i="1"/>
  <c r="D224" i="1" s="1"/>
  <c r="C210" i="1"/>
  <c r="C223" i="1"/>
  <c r="D223" i="1" s="1"/>
  <c r="C209" i="1"/>
  <c r="C222" i="1"/>
  <c r="D222" i="1" s="1"/>
  <c r="C208" i="1"/>
  <c r="C221" i="1"/>
  <c r="D221" i="1" s="1"/>
  <c r="C207" i="1"/>
  <c r="C219" i="1"/>
  <c r="D219" i="1" s="1"/>
  <c r="C205" i="1"/>
  <c r="C218" i="1"/>
  <c r="C204" i="1"/>
  <c r="C90" i="1"/>
  <c r="C93" i="1" s="1"/>
  <c r="C91" i="1"/>
  <c r="B30" i="1"/>
  <c r="C22" i="1"/>
  <c r="B181" i="1"/>
  <c r="B182" i="1"/>
  <c r="B183" i="1" s="1"/>
  <c r="B212" i="1"/>
  <c r="C212" i="1" s="1"/>
  <c r="C30" i="1" l="1"/>
  <c r="B218" i="1"/>
  <c r="D2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<sst xmlns="http://schemas.openxmlformats.org/spreadsheetml/2006/main" count="276" uniqueCount="191">
  <si>
    <t>더벨스파 콘래드점 매출 종합분석 리포트</t>
  </si>
  <si>
    <t>[ 1. EDA 데이터 탐색적 분석 ]</t>
  </si>
  <si>
    <t>1.1 월별 매출 현황</t>
  </si>
  <si>
    <t>월</t>
  </si>
  <si>
    <t>BODY</t>
  </si>
  <si>
    <t>FACE</t>
  </si>
  <si>
    <t>SPA_PACKAGE</t>
  </si>
  <si>
    <t>THE_BELLE_SIGNATURE</t>
  </si>
  <si>
    <t>WELLBEING_EDIT</t>
  </si>
  <si>
    <t>WELLBEING</t>
  </si>
  <si>
    <t>기타</t>
  </si>
  <si>
    <t>프로모션</t>
  </si>
  <si>
    <t>총매출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</si>
  <si>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</si>
  <si>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</si>
  <si>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</si>
  <si>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</si>
  <si>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</si>
  <si>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</si>
  <si>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</si>
  <si>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</si>
  <si>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1.2 메뉴별 총 매출 현황 (전체 기간)</t>
  </si>
  <si>
    <t>메뉴</t>
  </si>
  <si>
    <t>비율(%)</t>
  </si>
  <si>
    <t>WELLBEING_EDIT(ADD_ON)</t>
  </si>
  <si>
    <t>총계</t>
  </si>
  <si>
    <t>1.3 기초 통계량 분석</t>
  </si>
  <si>
    <t>평균</t>
  </si>
  <si>
    <t>최소값</t>
  </si>
  <si>
    <t>최대값</t>
  </si>
  <si>
    <t>표준편차</t>
  </si>
  <si>
    <t>변동계수(CV%)</t>
  </si>
  <si>
    <t>1.4 EDA 주요 레슨 (인사이트)</t>
  </si>
  <si>
    <t>■ 주력 메뉴 분석</t>
  </si>
  <si>
    <t>- THE_BELLE_SIGNATURE가 전체 매출의 약 75% 이상을 차지하는 핵심 메뉴</t>
  </si>
  <si>
    <t>- FACE 메뉴가 2위로 약 8-9%의 매출 비중</t>
  </si>
  <si>
    <t>- 프로모션 매출은 초기(9월)에 높았으나 이후 급감 (마케팅 전략 변화 필요)</t>
  </si>
  <si>
    <t>■ 월별 추이 분석</t>
  </si>
  <si>
    <t>- 4월이 가장 높은 매출 기록 (봄 시즌 효과 추정)</t>
  </si>
  <si>
    <t>- 2월이 상대적으로 낮은 매출 (비수기 또는 짧은 월 영향)</t>
  </si>
  <si>
    <t>■ 변동성 분석</t>
  </si>
  <si>
    <t>[ 2. 심화 데이터 분석 ]</t>
  </si>
  <si>
    <t>2.1 메뉴간 상관관계 분석</t>
  </si>
  <si>
    <t>SPA_PKG</t>
  </si>
  <si>
    <t>BELLE_SIG</t>
  </si>
  <si>
    <t>WELLB_EDIT</t>
  </si>
  <si>
    <t>2.2 월별 성장률 분석 (전월 대비)</t>
  </si>
  <si>
    <t>전월대비 성장률(%)</t>
  </si>
  <si>
    <t>-</t>
  </si>
  <si>
    <t>평균 성장률</t>
  </si>
  <si>
    <t>2.3 미래 경향 예측 (선형 추세 분석)</t>
  </si>
  <si>
    <t>항목</t>
  </si>
  <si>
    <t>값</t>
  </si>
  <si>
    <t>해석</t>
  </si>
  <si>
    <t>추세 기울기 (월별 증가액)</t>
  </si>
  <si>
    <t>월별 평균 매출 증감액</t>
  </si>
  <si>
    <t>추세 절편</t>
  </si>
  <si>
    <t>시작점 추정 매출</t>
  </si>
  <si>
    <t>결정계수 (R²)</t>
  </si>
  <si>
    <t>추세 설명력 (1에 가까울수록 강함)</t>
  </si>
  <si>
    <t>다음달 예측 매출 (5월)</t>
  </si>
  <si>
    <t>9번째 월 예측값</t>
  </si>
  <si>
    <t>6월 예측 매출</t>
  </si>
  <si>
    <t>10번째 월 예측값</t>
  </si>
  <si>
    <t>[ 3. 기업 인사이트 도출 ]</t>
  </si>
  <si>
    <t>3.1 더벨스파 콘래드점 장점</t>
  </si>
  <si>
    <t>번호</t>
  </si>
  <si>
    <t>장점</t>
  </si>
  <si>
    <t>근거</t>
  </si>
  <si>
    <t>안정적인 핵심 매출원 보유</t>
  </si>
  <si>
    <t>THE_BELLE_SIGNATURE가 전체 매출의 75%+ 차지</t>
  </si>
  <si>
    <t>지속적인 매출 성장 추세</t>
  </si>
  <si>
    <t>8개월간 전반적으로 상승 추세 유지</t>
  </si>
  <si>
    <t>프리미엄 서비스 포지셔닝</t>
  </si>
  <si>
    <t>고가 시그니처 메뉴 중심의 매출 구조</t>
  </si>
  <si>
    <t>낮은 핵심 메뉴 변동성</t>
  </si>
  <si>
    <t>시그니처 메뉴의 CV가 상대적으로 낮음</t>
  </si>
  <si>
    <t>다양한 메뉴 포트폴리오</t>
  </si>
  <si>
    <t>8개 카테고리의 서비스 제공</t>
  </si>
  <si>
    <t>3.2 더벨스파 콘래드점 단점</t>
  </si>
  <si>
    <t>단점</t>
  </si>
  <si>
    <t>핵심 메뉴 의존도 과다</t>
  </si>
  <si>
    <t>시그니처 메뉴에 75%+ 의존 (리스크)</t>
  </si>
  <si>
    <t>프로모션 매출 급감</t>
  </si>
  <si>
    <t>9월 대비 프로모션 매출 0으로 감소</t>
  </si>
  <si>
    <t>일부 메뉴 저조한 성과</t>
  </si>
  <si>
    <t>BODY, WELLBEING 등 매출 비중 미미</t>
  </si>
  <si>
    <t>계절적 변동성</t>
  </si>
  <si>
    <t>2월 매출 급감 현상 (비수기 취약)</t>
  </si>
  <si>
    <t>부가 서비스 활용 저조</t>
  </si>
  <si>
    <t>ADD-ON 서비스 매출 비중 낮음</t>
  </si>
  <si>
    <t>3.3 개선책 및 보완책</t>
  </si>
  <si>
    <t>개선책</t>
  </si>
  <si>
    <t>실행 방안</t>
  </si>
  <si>
    <t>핵심 메뉴 의존도</t>
  </si>
  <si>
    <t>메뉴 다각화</t>
  </si>
  <si>
    <t>FACE, SPA_PACKAGE 메뉴 프로모션 강화</t>
  </si>
  <si>
    <t>프로모션 재설계</t>
  </si>
  <si>
    <t>시즌별 타겟 프로모션, 멤버십 혜택 강화</t>
  </si>
  <si>
    <t>저조 메뉴 성과</t>
  </si>
  <si>
    <t>메뉴 리뉴얼</t>
  </si>
  <si>
    <t>BODY, WELLBEING 메뉴 패키지화 및 가격 조정</t>
  </si>
  <si>
    <t>비수기 전략</t>
  </si>
  <si>
    <t>2월 특별 프로모션, 기념일 패키지 출시</t>
  </si>
  <si>
    <t>ADD-ON 저활용</t>
  </si>
  <si>
    <t>크로스셀링</t>
  </si>
  <si>
    <t>시그니처 메뉴와 ADD-ON 번들 할인 제공</t>
  </si>
  <si>
    <t>[ 4. 단순회귀분석 ]</t>
  </si>
  <si>
    <t>4.1 메뉴변수 단순회귀분석 (독립변수 → 총매출)</t>
  </si>
  <si>
    <t>메뉴변수</t>
  </si>
  <si>
    <t>기울기(β)</t>
  </si>
  <si>
    <t>절편</t>
  </si>
  <si>
    <t>R²</t>
  </si>
  <si>
    <t>상관계수(r)</t>
  </si>
  <si>
    <t>4.2 마케팅/기타변수 단순회귀분석 (독립변수 → 총매출)</t>
  </si>
  <si>
    <t>마케팅변수</t>
  </si>
  <si>
    <t>4.3 회귀분석 결과 해석</t>
  </si>
  <si>
    <t>[주효과 분석]</t>
  </si>
  <si>
    <t>[상호작용효과 분석]</t>
  </si>
  <si>
    <t>[해석 주의사항]</t>
  </si>
  <si>
    <t>- 데이터 8개월 제한 (통계적 유의성 검증 한계)</t>
  </si>
  <si>
    <t>4.4 메타분석 및 회귀분석 종합</t>
  </si>
  <si>
    <t>의미</t>
  </si>
  <si>
    <t>표본 수 (n)</t>
  </si>
  <si>
    <t>8개월 데이터</t>
  </si>
  <si>
    <t>독립변수 수</t>
  </si>
  <si>
    <t>8개 메뉴/마케팅 변수</t>
  </si>
  <si>
    <t>총매출 평균</t>
  </si>
  <si>
    <t>월평균 매출</t>
  </si>
  <si>
    <t>총매출 표준편차</t>
  </si>
  <si>
    <t>매출 변동성</t>
  </si>
  <si>
    <t>총매출 변동계수(CV)</t>
  </si>
  <si>
    <t>% 단위 변동성</t>
  </si>
  <si>
    <t>가장 영향력 높은 변수</t>
  </si>
  <si>
    <t>핵심 매출 동인</t>
  </si>
  <si>
    <t>4.5 회귀분석 기반 발견된 장점/단점 및 해결책</t>
  </si>
  <si>
    <t>구분</t>
  </si>
  <si>
    <t>발견 내용</t>
  </si>
  <si>
    <t>해결책/활용방안</t>
  </si>
  <si>
    <t>장점1</t>
  </si>
  <si>
    <t>시그니처 메뉴의 높은 설명력 (안정적 수익원)</t>
  </si>
  <si>
    <t>시그니처 메뉴 품질 유지 및 프리미엄 강화</t>
  </si>
  <si>
    <t>장점2</t>
  </si>
  <si>
    <t>FACE 메뉴의 양호한 성장 잠재력</t>
  </si>
  <si>
    <t>FACE 메뉴 마케팅 강화로 제2 수익원 육성</t>
  </si>
  <si>
    <t>장점3</t>
  </si>
  <si>
    <t>전반적 매출 성장 추세</t>
  </si>
  <si>
    <t>성장 모멘텀 유지 전략 수립</t>
  </si>
  <si>
    <t>단점1</t>
  </si>
  <si>
    <t>프로모션 효과 지속성 부족</t>
  </si>
  <si>
    <t>지속 가능한 프로모션 체계 구축</t>
  </si>
  <si>
    <t>단점2</t>
  </si>
  <si>
    <t>일부 메뉴 낮은 기여도</t>
  </si>
  <si>
    <t>저성과 메뉴 리뉴얼 또는 구조조정</t>
  </si>
  <si>
    <t>단점3</t>
  </si>
  <si>
    <t>ADD-ON 크로스셀링 미흡</t>
  </si>
  <si>
    <t>번들 패키지 및 업셀링 전략 도입</t>
  </si>
  <si>
    <t>[ 5. 추가 분석 ]</t>
  </si>
  <si>
    <t>5.1 메뉴별 성장 추세 (기울기 분석)</t>
  </si>
  <si>
    <t>월별 성장 기울기</t>
  </si>
  <si>
    <t>성장 여부</t>
  </si>
  <si>
    <t>5.2 메뉴 포트폴리오 분석 (매출 비중 vs 성장률)</t>
  </si>
  <si>
    <t>매출 비중(%)</t>
  </si>
  <si>
    <t>성장 기울기</t>
  </si>
  <si>
    <t>포지션</t>
  </si>
  <si>
    <t>5.3 최종 전략적 권고사항</t>
  </si>
  <si>
    <t>우선순위</t>
  </si>
  <si>
    <t>전략</t>
  </si>
  <si>
    <t>기대 효과</t>
  </si>
  <si>
    <t>핵심 메뉴 강화</t>
  </si>
  <si>
    <t>THE_BELLE_SIGNATURE 품질/서비스 유지</t>
  </si>
  <si>
    <t>안정적 수익 기반 확보</t>
  </si>
  <si>
    <t>제2 수익원 육성</t>
  </si>
  <si>
    <t>FACE 메뉴 마케팅 투자 확대</t>
  </si>
  <si>
    <t>수익 다각화</t>
  </si>
  <si>
    <t>프로모션 체계 재정립</t>
  </si>
  <si>
    <t>지속 가능한 멤버십/시즌 프로모션</t>
  </si>
  <si>
    <t>신규 고객 유치</t>
  </si>
  <si>
    <t>저성과 메뉴 리뉴얼</t>
  </si>
  <si>
    <t>BODY, WELLBEING 패키지 재구성</t>
  </si>
  <si>
    <t>매출 효율성 제고</t>
  </si>
  <si>
    <t>크로스셀링 강화</t>
  </si>
  <si>
    <t>시그니처 + ADD-ON 번들 상품</t>
  </si>
  <si>
    <t>객단가 상승</t>
  </si>
  <si>
    <t>비수기 대응</t>
  </si>
  <si>
    <t>2월 특별 프로모션 기획</t>
  </si>
  <si>
    <t>매출 안정화</t>
  </si>
  <si>
    <t>━━━━━━━━━━━━━━━━━━━━━━━━━━━━━━━━━━━━━━━━━━━━━━━━━━━━━━━</t>
  </si>
  <si>
    <t>분석 완료일: 2026년 5월 6일</t>
  </si>
  <si>
    <t>분석 범위: 2025년 9월 ~ 2026년 4월 (8개월)</t>
  </si>
  <si>
    <t>분석 대상: 더벨스파 콘래드점 매출 POS 데이터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</si>
</sst>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8"/>
      <color rgb="FF1F4E79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2E75B6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1F4E79"/>
      <name val="맑은 고딕"/>
      <family val="2"/>
      <charset val="129"/>
      <scheme val="minor"/>
    </font>
    <font>
      <i/>
      <sz val="11"/>
      <color rgb="FF666666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0" fontId="6" fillId="0" borderId="0" xfId="0" applyFont="1">
      <alignment vertical="center"/>
    </xf>
    <xf numFmtId="2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5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월별 총매출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[1]종합분석!$J$8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[1]종합분석!$J$9:$J$16</c:f>
              <c:numCache>
                <c:formatCode>#,##0</c:formatCode>
                <c:ptCount val="8"/>
                <c:pt idx="0">
                  <c:v>80388075</c:v>
                </c:pt>
                <c:pt idx="1">
                  <c:v>91266425</c:v>
                </c:pt>
                <c:pt idx="2">
                  <c:v>98711925</c:v>
                </c:pt>
                <c:pt idx="3">
                  <c:v>94133900</c:v>
                </c:pt>
                <c:pt idx="4">
                  <c:v>88541500</c:v>
                </c:pt>
                <c:pt idx="5">
                  <c:v>80616400</c:v>
                </c:pt>
                <c:pt idx="6">
                  <c:v>95694550</c:v>
                </c:pt>
                <c:pt idx="7">
                  <c:v>109852875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8-45FB-8EEB-79F487361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702447"/>
        <c:axId val="1801700527"/>
      </c:barChart>
      <c:catAx>
        <c:axId val="180170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1700527"/>
        <c:crosses val="autoZero"/>
        <c:auto val="1"/>
        <c:lblAlgn val="ctr"/>
        <c:lblOffset val="100"/>
        <c:noMultiLvlLbl val="0"/>
      </c:catAx>
      <c:valAx>
        <c:axId val="18017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170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메뉴별 매출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[1]종합분석!$B$21</c:f>
              <c:strCache>
                <c:ptCount val="1"/>
                <c:pt idx="0">
                  <c:v>총매출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6F-458F-AF1A-3B94F9C31C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6F-458F-AF1A-3B94F9C31C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6F-458F-AF1A-3B94F9C31C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6F-458F-AF1A-3B94F9C31C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6F-458F-AF1A-3B94F9C31C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6F-458F-AF1A-3B94F9C31C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66F-458F-AF1A-3B94F9C31CC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66F-458F-AF1A-3B94F9C31CCC}"/>
              </c:ext>
            </c:extLst>
          </c:dPt>
          <c:cat>
            <c:strRef>
              <c:f>[1]종합분석!$A$22:$A$29</c:f>
              <c:strCache>
                <c:ptCount val="8"/>
                <c:pt idx="0">
                  <c:v>THE_BELLE_SIGNATURE</c:v>
                </c:pt>
                <c:pt idx="1">
                  <c:v>FACE</c:v>
                </c:pt>
                <c:pt idx="2">
                  <c:v>SPA_PACKAGE</c:v>
                </c:pt>
                <c:pt idx="3">
                  <c:v>WELLBEING_EDIT(ADD_ON)</c:v>
                </c:pt>
                <c:pt idx="4">
                  <c:v>프로모션</c:v>
                </c:pt>
                <c:pt idx="5">
                  <c:v>WELLBEING</c:v>
                </c:pt>
                <c:pt idx="6">
                  <c:v>BODY</c:v>
                </c:pt>
                <c:pt idx="7">
                  <c:v>기타</c:v>
                </c:pt>
              </c:strCache>
            </c:strRef>
          </c:cat>
          <c:val>
            <c:numRef>
              <c:f>[1]종합분석!$B$22:$B$29</c:f>
              <c:numCache>
                <c:formatCode>#,##0</c:formatCode>
                <c:ptCount val="8"/>
                <c:pt idx="0">
                  <c:v>548937375</c:v>
                </c:pt>
                <c:pt idx="1">
                  <c:v>66994600</c:v>
                </c:pt>
                <c:pt idx="2">
                  <c:v>45650000</c:v>
                </c:pt>
                <c:pt idx="3">
                  <c:v>28061850</c:v>
                </c:pt>
                <c:pt idx="4">
                  <c:v>18442200</c:v>
                </c:pt>
                <c:pt idx="5">
                  <c:v>11796100</c:v>
                </c:pt>
                <c:pt idx="6">
                  <c:v>12832700</c:v>
                </c:pt>
                <c:pt idx="7">
                  <c:v>6490825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1-4F7F-89DC-73C05B189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월별 매출 성장률 추이 </a:t>
            </a:r>
            <a:r>
              <a:rPr lang="en-US" altLang="ko-KR"/>
              <a:t>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[1]종합분석!$C$85</c:f>
              <c:strCache>
                <c:ptCount val="1"/>
                <c:pt idx="0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[1]종합분석!$A$85:$A$92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[1]종합분석!$C$86:$C$92</c:f>
              <c:numCache>
                <c:formatCode>0.0</c:formatCode>
                <c:ptCount val="7"/>
                <c:pt idx="0">
                  <c:v>13.532293191496375</c:v>
                </c:pt>
                <c:pt idx="1">
                  <c:v>8.1579836177433265</c:v>
                </c:pt>
                <c:pt idx="2">
                  <c:v>-4.6377628640106048</c:v>
                </c:pt>
                <c:pt idx="3">
                  <c:v>-5.9408990809899516</c:v>
                </c:pt>
                <c:pt idx="4">
                  <c:v>-8.9507180248809881</c:v>
                </c:pt>
                <c:pt idx="5">
                  <c:v>18.703576443502811</c:v>
                </c:pt>
                <c:pt idx="6">
                  <c:v>14.795330559577321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3-442D-A098-0C57CED4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253328"/>
        <c:axId val="490255728"/>
      </c:lineChart>
      <c:catAx>
        <c:axId val="49025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0255728"/>
        <c:crosses val="autoZero"/>
        <c:auto val="1"/>
        <c:lblAlgn val="ctr"/>
        <c:lblOffset val="100"/>
        <c:noMultiLvlLbl val="0"/>
      </c:catAx>
      <c:valAx>
        <c:axId val="4902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025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메뉴별 총 매출 </a:t>
            </a:r>
            <a:r>
              <a:rPr lang="en-US" altLang="ko-KR"/>
              <a:t>(8</a:t>
            </a:r>
            <a:r>
              <a:rPr lang="ko-KR" altLang="en-US"/>
              <a:t>개월</a:t>
            </a:r>
            <a:r>
              <a:rPr lang="en-US" altLang="ko-K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[1]종합분석!$A$22:$A$29</c:f>
              <c:strCache>
                <c:ptCount val="8"/>
                <c:pt idx="0">
                  <c:v>THE_BELLE_SIGNATURE</c:v>
                </c:pt>
                <c:pt idx="1">
                  <c:v>FACE</c:v>
                </c:pt>
                <c:pt idx="2">
                  <c:v>SPA_PACKAGE</c:v>
                </c:pt>
                <c:pt idx="3">
                  <c:v>WELLBEING_EDIT(ADD_ON)</c:v>
                </c:pt>
                <c:pt idx="4">
                  <c:v>프로모션</c:v>
                </c:pt>
                <c:pt idx="5">
                  <c:v>WELLBEING</c:v>
                </c:pt>
                <c:pt idx="6">
                  <c:v>BODY</c:v>
                </c:pt>
                <c:pt idx="7">
                  <c:v>기타</c:v>
                </c:pt>
              </c:strCache>
            </c:strRef>
          </c:cat>
          <c:val>
            <c:numRef>
              <c:f>[1]종합분석!$B$22:$B$29</c:f>
              <c:numCache>
                <c:formatCode>#,##0</c:formatCode>
                <c:ptCount val="8"/>
                <c:pt idx="0">
                  <c:v>548937375</c:v>
                </c:pt>
                <c:pt idx="1">
                  <c:v>66994600</c:v>
                </c:pt>
                <c:pt idx="2">
                  <c:v>45650000</c:v>
                </c:pt>
                <c:pt idx="3">
                  <c:v>28061850</c:v>
                </c:pt>
                <c:pt idx="4">
                  <c:v>18442200</c:v>
                </c:pt>
                <c:pt idx="5">
                  <c:v>11796100</c:v>
                </c:pt>
                <c:pt idx="6">
                  <c:v>12832700</c:v>
                </c:pt>
                <c:pt idx="7">
                  <c:v>6490825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0-48EE-9727-A7C2999E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280560"/>
        <c:axId val="613297360"/>
      </c:barChart>
      <c:catAx>
        <c:axId val="61328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3297360"/>
        <c:crosses val="autoZero"/>
        <c:auto val="1"/>
        <c:lblAlgn val="ctr"/>
        <c:lblOffset val="100"/>
        <c:noMultiLvlLbl val="0"/>
      </c:catAx>
      <c:valAx>
        <c:axId val="6132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328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월별 메뉴 구성 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[1]종합분석!$B$8</c:f>
              <c:strCache>
                <c:ptCount val="1"/>
                <c:pt idx="0">
                  <c:v>BODY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[1]종합분석!$B$9:$B$16</c:f>
              <c:numCache>
                <c:formatCode>#,##0</c:formatCode>
                <c:ptCount val="8"/>
                <c:pt idx="0">
                  <c:v>3019500</c:v>
                </c:pt>
                <c:pt idx="1">
                  <c:v>737000</c:v>
                </c:pt>
                <c:pt idx="2">
                  <c:v>1507000</c:v>
                </c:pt>
                <c:pt idx="3">
                  <c:v>1430000</c:v>
                </c:pt>
                <c:pt idx="4">
                  <c:v>1228700</c:v>
                </c:pt>
                <c:pt idx="5">
                  <c:v>1317800</c:v>
                </c:pt>
                <c:pt idx="6">
                  <c:v>1155000</c:v>
                </c:pt>
                <c:pt idx="7">
                  <c:v>2437700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6-41C2-AAF4-788095E514B5}"/>
            </c:ext>
          </c:extLst>
        </c:ser>
        <c:ser>
          <c:idx val="1"/>
          <c:order val="1"/>
          <c:tx>
            <c:strRef>
              <c:f>[1]종합분석!$C$8</c:f>
              <c:strCache>
                <c:ptCount val="1"/>
                <c:pt idx="0">
                  <c:v>FACE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[1]종합분석!$C$9:$C$16</c:f>
              <c:numCache>
                <c:formatCode>#,##0</c:formatCode>
                <c:ptCount val="8"/>
                <c:pt idx="0">
                  <c:v>4647800</c:v>
                </c:pt>
                <c:pt idx="1">
                  <c:v>8332750</c:v>
                </c:pt>
                <c:pt idx="2">
                  <c:v>9608100</c:v>
                </c:pt>
                <c:pt idx="3">
                  <c:v>10392500</c:v>
                </c:pt>
                <c:pt idx="4">
                  <c:v>4374250</c:v>
                </c:pt>
                <c:pt idx="5">
                  <c:v>3477950</c:v>
                </c:pt>
                <c:pt idx="6">
                  <c:v>8542100</c:v>
                </c:pt>
                <c:pt idx="7">
                  <c:v>17619150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6-41C2-AAF4-788095E514B5}"/>
            </c:ext>
          </c:extLst>
        </c:ser>
        <c:ser>
          <c:idx val="2"/>
          <c:order val="2"/>
          <c:tx>
            <c:strRef>
              <c:f>[1]종합분석!$D$8</c:f>
              <c:strCache>
                <c:ptCount val="1"/>
                <c:pt idx="0">
                  <c:v>SPA_PACKAGE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[1]종합분석!$D$9:$D$16</c:f>
              <c:numCache>
                <c:formatCode>#,##0</c:formatCode>
                <c:ptCount val="8"/>
                <c:pt idx="0">
                  <c:v>2904000</c:v>
                </c:pt>
                <c:pt idx="1">
                  <c:v>6699000</c:v>
                </c:pt>
                <c:pt idx="2">
                  <c:v>6567000</c:v>
                </c:pt>
                <c:pt idx="3">
                  <c:v>8129000</c:v>
                </c:pt>
                <c:pt idx="4">
                  <c:v>5225000</c:v>
                </c:pt>
                <c:pt idx="5">
                  <c:v>3751000</c:v>
                </c:pt>
                <c:pt idx="6">
                  <c:v>6479000</c:v>
                </c:pt>
                <c:pt idx="7">
                  <c:v>5896000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6-41C2-AAF4-788095E514B5}"/>
            </c:ext>
          </c:extLst>
        </c:ser>
        <c:ser>
          <c:idx val="3"/>
          <c:order val="3"/>
          <c:tx>
            <c:strRef>
              <c:f>[1]종합분석!$E$8</c:f>
              <c:strCache>
                <c:ptCount val="1"/>
                <c:pt idx="0">
                  <c:v>THE_BELLE_SIGNATURE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[1]종합분석!$E$9:$E$16</c:f>
              <c:numCache>
                <c:formatCode>#,##0</c:formatCode>
                <c:ptCount val="8"/>
                <c:pt idx="0">
                  <c:v>50965900</c:v>
                </c:pt>
                <c:pt idx="1">
                  <c:v>68271275</c:v>
                </c:pt>
                <c:pt idx="2">
                  <c:v>74582725</c:v>
                </c:pt>
                <c:pt idx="3">
                  <c:v>69840750</c:v>
                </c:pt>
                <c:pt idx="4">
                  <c:v>71124550</c:v>
                </c:pt>
                <c:pt idx="5">
                  <c:v>62973000</c:v>
                </c:pt>
                <c:pt idx="6">
                  <c:v>74843000</c:v>
                </c:pt>
                <c:pt idx="7">
                  <c:v>76336175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76-41C2-AAF4-788095E514B5}"/>
            </c:ext>
          </c:extLst>
        </c:ser>
        <c:ser>
          <c:idx val="4"/>
          <c:order val="4"/>
          <c:tx>
            <c:strRef>
              <c:f>[1]종합분석!$F$8</c:f>
              <c:strCache>
                <c:ptCount val="1"/>
                <c:pt idx="0">
                  <c:v>WELLBEING_EDIT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[1]종합분석!$F$9:$F$16</c:f>
              <c:numCache>
                <c:formatCode>#,##0</c:formatCode>
                <c:ptCount val="8"/>
                <c:pt idx="0">
                  <c:v>1682950</c:v>
                </c:pt>
                <c:pt idx="1">
                  <c:v>2604800</c:v>
                </c:pt>
                <c:pt idx="2">
                  <c:v>2772800</c:v>
                </c:pt>
                <c:pt idx="3">
                  <c:v>2552950</c:v>
                </c:pt>
                <c:pt idx="4">
                  <c:v>3462600</c:v>
                </c:pt>
                <c:pt idx="5">
                  <c:v>7642250</c:v>
                </c:pt>
                <c:pt idx="6">
                  <c:v>3190450</c:v>
                </c:pt>
                <c:pt idx="7">
                  <c:v>4153050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76-41C2-AAF4-788095E514B5}"/>
            </c:ext>
          </c:extLst>
        </c:ser>
        <c:ser>
          <c:idx val="5"/>
          <c:order val="5"/>
          <c:tx>
            <c:strRef>
              <c:f>[1]종합분석!$G$8</c:f>
              <c:strCache>
                <c:ptCount val="1"/>
                <c:pt idx="0">
                  <c:v>WELLBEING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[1]종합분석!$G$9:$G$16</c:f>
              <c:numCache>
                <c:formatCode>#,##0</c:formatCode>
                <c:ptCount val="8"/>
                <c:pt idx="0">
                  <c:v>511000</c:v>
                </c:pt>
                <c:pt idx="1">
                  <c:v>1525900</c:v>
                </c:pt>
                <c:pt idx="2">
                  <c:v>1874700</c:v>
                </c:pt>
                <c:pt idx="3">
                  <c:v>992900</c:v>
                </c:pt>
                <c:pt idx="4">
                  <c:v>2521400</c:v>
                </c:pt>
                <c:pt idx="5">
                  <c:v>1454400</c:v>
                </c:pt>
                <c:pt idx="6">
                  <c:v>495000</c:v>
                </c:pt>
                <c:pt idx="7">
                  <c:v>2420800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76-41C2-AAF4-788095E514B5}"/>
            </c:ext>
          </c:extLst>
        </c:ser>
        <c:ser>
          <c:idx val="6"/>
          <c:order val="6"/>
          <c:tx>
            <c:strRef>
              <c:f>[1]종합분석!$H$8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[1]종합분석!$H$9:$H$16</c:f>
              <c:numCache>
                <c:formatCode>#,##0</c:formatCode>
                <c:ptCount val="8"/>
                <c:pt idx="0">
                  <c:v>1566325</c:v>
                </c:pt>
                <c:pt idx="1">
                  <c:v>1285500</c:v>
                </c:pt>
                <c:pt idx="2">
                  <c:v>527000</c:v>
                </c:pt>
                <c:pt idx="3">
                  <c:v>527000</c:v>
                </c:pt>
                <c:pt idx="4">
                  <c:v>605000</c:v>
                </c:pt>
                <c:pt idx="5">
                  <c:v>0</c:v>
                </c:pt>
                <c:pt idx="6">
                  <c:v>990000</c:v>
                </c:pt>
                <c:pt idx="7">
                  <c:v>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76-41C2-AAF4-788095E514B5}"/>
            </c:ext>
          </c:extLst>
        </c:ser>
        <c:ser>
          <c:idx val="7"/>
          <c:order val="7"/>
          <c:tx>
            <c:strRef>
              <c:f>[1]종합분석!$I$8</c:f>
              <c:strCache>
                <c:ptCount val="1"/>
                <c:pt idx="0">
                  <c:v>프로모션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[1]종합분석!$A$9:$A$16</c:f>
              <c:strCache>
                <c:ptCount val="8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</c:strCache>
            </c:strRef>
          </c:cat>
          <c:val>
            <c:numRef>
              <c:f>[1]종합분석!$I$9:$I$16</c:f>
              <c:numCache>
                <c:formatCode>#,##0</c:formatCode>
                <c:ptCount val="8"/>
                <c:pt idx="0">
                  <c:v>15090600</c:v>
                </c:pt>
                <c:pt idx="1">
                  <c:v>1810200</c:v>
                </c:pt>
                <c:pt idx="2">
                  <c:v>1272600</c:v>
                </c:pt>
                <c:pt idx="3">
                  <c:v>268800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76-41C2-AAF4-788095E51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8838960"/>
        <c:axId val="618842800"/>
      </c:barChart>
      <c:catAx>
        <c:axId val="6188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8842800"/>
        <c:crosses val="autoZero"/>
        <c:auto val="1"/>
        <c:lblAlgn val="ctr"/>
        <c:lblOffset val="100"/>
        <c:noMultiLvlLbl val="0"/>
      </c:catAx>
      <c:valAx>
        <c:axId val="6188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883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0</xdr:rowOff>
    </xdr:from>
    <xdr:to>
      <xdr:col>19</xdr:col>
      <xdr:colOff>228600</xdr:colOff>
      <xdr:row>23</xdr:row>
      <xdr:rowOff>203200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D53642-F6A2-4770-999D-3002881FB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8</xdr:col>
      <xdr:colOff>203200</xdr:colOff>
      <xdr:row>34</xdr:row>
      <xdr:rowOff>203200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BC28B51-4D20-4D9B-9D95-C1CD6F00F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81</xdr:row>
      <xdr:rowOff>0</xdr:rowOff>
    </xdr:from>
    <xdr:to>
      <xdr:col>8</xdr:col>
      <xdr:colOff>203200</xdr:colOff>
      <xdr:row>96</xdr:row>
      <xdr:rowOff>31750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69EA2A7-D8A8-4BF1-9632-DE4F69B2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8</xdr:col>
      <xdr:colOff>203200</xdr:colOff>
      <xdr:row>50</xdr:row>
      <xdr:rowOff>31750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BB4E7DE-A863-4DC7-A5A2-9D54230B5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177800</xdr:colOff>
      <xdr:row>37</xdr:row>
      <xdr:rowOff>38100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2EB61E9-71D9-4C2A-8F52-6F140AF9A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585E6D7EE32BD46/&#47928;&#49436;/regression_ready_data.xlsx" TargetMode="External"/><Relationship Id="rId1" Type="http://schemas.openxmlformats.org/officeDocument/2006/relationships/externalLinkPath" Target="https://d.docs.live.net/F585E6D7EE32BD46/&#47928;&#49436;/regression_read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_ready_data"/>
      <sheetName val="종합분석"/>
    </sheetNames>
    <sheetDataSet>
      <sheetData sheetId="0"/>
      <sheetData sheetId="1">
        <row r="8">
          <cell r="B8" t="str">
            <v>BODY</v>
          </cell>
          <cell r="C8" t="str">
            <v>FACE</v>
          </cell>
          <cell r="D8" t="str">
            <v>SPA_PACKAGE</v>
          </cell>
          <cell r="E8" t="str">
            <v>THE_BELLE_SIGNATURE</v>
          </cell>
          <cell r="F8" t="str">
            <v>WELLBEING_EDIT</v>
          </cell>
          <cell r="G8" t="str">
            <v>WELLBEING</v>
          </cell>
          <cell r="H8" t="str">
            <v>기타</v>
          </cell>
          <cell r="I8" t="str">
            <v>프로모션</v>
          </cell>
          <cell r="J8" t="str">
            <v>총매출</v>
          </cell>
        </row>
        <row r="9">
          <cell r="A9" t="str">
            <v>2025-09</v>
          </cell>
          <cell r="B9">
            <v>3019500</v>
          </cell>
          <cell r="C9">
            <v>4647800</v>
          </cell>
          <cell r="D9">
            <v>2904000</v>
          </cell>
          <cell r="E9">
            <v>50965900</v>
          </cell>
          <cell r="F9">
            <v>1682950</v>
          </cell>
          <cell r="G9">
            <v>511000</v>
          </cell>
          <cell r="H9">
            <v>1566325</v>
          </cell>
          <cell r="I9">
            <v>15090600</v>
          </cell>
          <cell r="J9">
            <v>80388075</v>
          </cell>
        </row>
        <row r="10">
          <cell r="A10" t="str">
            <v>2025-10</v>
          </cell>
          <cell r="B10">
            <v>737000</v>
          </cell>
          <cell r="C10">
            <v>8332750</v>
          </cell>
          <cell r="D10">
            <v>6699000</v>
          </cell>
          <cell r="E10">
            <v>68271275</v>
          </cell>
          <cell r="F10">
            <v>2604800</v>
          </cell>
          <cell r="G10">
            <v>1525900</v>
          </cell>
          <cell r="H10">
            <v>1285500</v>
          </cell>
          <cell r="I10">
            <v>1810200</v>
          </cell>
          <cell r="J10">
            <v>91266425</v>
          </cell>
        </row>
        <row r="11">
          <cell r="A11" t="str">
            <v>2025-11</v>
          </cell>
          <cell r="B11">
            <v>1507000</v>
          </cell>
          <cell r="C11">
            <v>9608100</v>
          </cell>
          <cell r="D11">
            <v>6567000</v>
          </cell>
          <cell r="E11">
            <v>74582725</v>
          </cell>
          <cell r="F11">
            <v>2772800</v>
          </cell>
          <cell r="G11">
            <v>1874700</v>
          </cell>
          <cell r="H11">
            <v>527000</v>
          </cell>
          <cell r="I11">
            <v>1272600</v>
          </cell>
          <cell r="J11">
            <v>98711925</v>
          </cell>
        </row>
        <row r="12">
          <cell r="A12" t="str">
            <v>2025-12</v>
          </cell>
          <cell r="B12">
            <v>1430000</v>
          </cell>
          <cell r="C12">
            <v>10392500</v>
          </cell>
          <cell r="D12">
            <v>8129000</v>
          </cell>
          <cell r="E12">
            <v>69840750</v>
          </cell>
          <cell r="F12">
            <v>2552950</v>
          </cell>
          <cell r="G12">
            <v>992900</v>
          </cell>
          <cell r="H12">
            <v>527000</v>
          </cell>
          <cell r="I12">
            <v>268800</v>
          </cell>
          <cell r="J12">
            <v>94133900</v>
          </cell>
        </row>
        <row r="13">
          <cell r="A13" t="str">
            <v>2026-01</v>
          </cell>
          <cell r="B13">
            <v>1228700</v>
          </cell>
          <cell r="C13">
            <v>4374250</v>
          </cell>
          <cell r="D13">
            <v>5225000</v>
          </cell>
          <cell r="E13">
            <v>71124550</v>
          </cell>
          <cell r="F13">
            <v>3462600</v>
          </cell>
          <cell r="G13">
            <v>2521400</v>
          </cell>
          <cell r="H13">
            <v>605000</v>
          </cell>
          <cell r="I13">
            <v>0</v>
          </cell>
          <cell r="J13">
            <v>88541500</v>
          </cell>
        </row>
        <row r="14">
          <cell r="A14" t="str">
            <v>2026-02</v>
          </cell>
          <cell r="B14">
            <v>1317800</v>
          </cell>
          <cell r="C14">
            <v>3477950</v>
          </cell>
          <cell r="D14">
            <v>3751000</v>
          </cell>
          <cell r="E14">
            <v>62973000</v>
          </cell>
          <cell r="F14">
            <v>7642250</v>
          </cell>
          <cell r="G14">
            <v>1454400</v>
          </cell>
          <cell r="H14">
            <v>0</v>
          </cell>
          <cell r="I14">
            <v>0</v>
          </cell>
          <cell r="J14">
            <v>80616400</v>
          </cell>
        </row>
        <row r="15">
          <cell r="A15" t="str">
            <v>2026-03</v>
          </cell>
          <cell r="B15">
            <v>1155000</v>
          </cell>
          <cell r="C15">
            <v>8542100</v>
          </cell>
          <cell r="D15">
            <v>6479000</v>
          </cell>
          <cell r="E15">
            <v>74843000</v>
          </cell>
          <cell r="F15">
            <v>3190450</v>
          </cell>
          <cell r="G15">
            <v>495000</v>
          </cell>
          <cell r="H15">
            <v>990000</v>
          </cell>
          <cell r="I15">
            <v>0</v>
          </cell>
          <cell r="J15">
            <v>95694550</v>
          </cell>
        </row>
        <row r="16">
          <cell r="A16" t="str">
            <v>2026-04</v>
          </cell>
          <cell r="B16">
            <v>2437700</v>
          </cell>
          <cell r="C16">
            <v>17619150</v>
          </cell>
          <cell r="D16">
            <v>5896000</v>
          </cell>
          <cell r="E16">
            <v>76336175</v>
          </cell>
          <cell r="F16">
            <v>4153050</v>
          </cell>
          <cell r="G16">
            <v>2420800</v>
          </cell>
          <cell r="H16">
            <v>990000</v>
          </cell>
          <cell r="I16">
            <v>0</v>
          </cell>
          <cell r="J16">
            <v>109852875</v>
          </cell>
        </row>
        <row r="21">
          <cell r="B21" t="str">
            <v>총매출</v>
          </cell>
        </row>
        <row r="22">
          <cell r="A22" t="str">
            <v>THE_BELLE_SIGNATURE</v>
          </cell>
          <cell r="B22">
            <v>548937375</v>
          </cell>
        </row>
        <row r="23">
          <cell r="A23" t="str">
            <v>FACE</v>
          </cell>
          <cell r="B23">
            <v>66994600</v>
          </cell>
        </row>
        <row r="24">
          <cell r="A24" t="str">
            <v>SPA_PACKAGE</v>
          </cell>
          <cell r="B24">
            <v>45650000</v>
          </cell>
        </row>
        <row r="25">
          <cell r="A25" t="str">
            <v>WELLBEING_EDIT(ADD_ON)</v>
          </cell>
          <cell r="B25">
            <v>28061850</v>
          </cell>
        </row>
        <row r="26">
          <cell r="A26" t="str">
            <v>프로모션</v>
          </cell>
          <cell r="B26">
            <v>18442200</v>
          </cell>
        </row>
        <row r="27">
          <cell r="A27" t="str">
            <v>WELLBEING</v>
          </cell>
          <cell r="B27">
            <v>11796100</v>
          </cell>
        </row>
        <row r="28">
          <cell r="A28" t="str">
            <v>BODY</v>
          </cell>
          <cell r="B28">
            <v>12832700</v>
          </cell>
        </row>
        <row r="29">
          <cell r="A29" t="str">
            <v>기타</v>
          </cell>
          <cell r="B29">
            <v>6490825</v>
          </cell>
        </row>
        <row r="85">
          <cell r="A85" t="str">
            <v>2025-09</v>
          </cell>
          <cell r="C85" t="str">
            <v>-</v>
          </cell>
        </row>
        <row r="86">
          <cell r="A86" t="str">
            <v>2025-10</v>
          </cell>
          <cell r="C86">
            <v>13.532293191496375</v>
          </cell>
        </row>
        <row r="87">
          <cell r="A87" t="str">
            <v>2025-11</v>
          </cell>
          <cell r="C87">
            <v>8.1579836177433265</v>
          </cell>
        </row>
        <row r="88">
          <cell r="A88" t="str">
            <v>2025-12</v>
          </cell>
          <cell r="C88">
            <v>-4.6377628640106048</v>
          </cell>
        </row>
        <row r="89">
          <cell r="A89" t="str">
            <v>2026-01</v>
          </cell>
          <cell r="C89">
            <v>-5.9408990809899516</v>
          </cell>
        </row>
        <row r="90">
          <cell r="A90" t="str">
            <v>2026-02</v>
          </cell>
          <cell r="C90">
            <v>-8.9507180248809881</v>
          </cell>
        </row>
        <row r="91">
          <cell r="A91" t="str">
            <v>2026-03</v>
          </cell>
          <cell r="C91">
            <v>18.703576443502811</v>
          </cell>
        </row>
        <row r="92">
          <cell r="A92" t="str">
            <v>2026-04</v>
          </cell>
          <cell r="C92">
            <v>14.795330559577321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DCCC-3733-49BE-8F43-39998EAB50CF}">
  <dimension ref="A1:K245"/>
  <sheetViews>
    <sheetView tabSelected="1" workbookViewId="0">
      <selection activeCell="D5" sqref="D5"/>
    </sheetView>
  </sheetViews>
  <sheetFormatPr defaultRowHeight="16.5" x14ac:dyDescent="0.3"/>
  <cols>
    <col min="1" max="1" width="33.375" customWidth="1"/>
    <col min="2" max="4" width="16.625" customWidth="1"/>
    <col min="5" max="5" width="20" customWidth="1"/>
    <col min="6" max="7" width="16.625" customWidth="1"/>
    <col min="8" max="9" width="13.375" customWidth="1"/>
    <col min="10" max="10" width="16.625" customWidth="1"/>
    <col min="11" max="11" width="0" hidden="1" customWidth="1"/>
  </cols>
  <sheetData>
    <row r="1" spans="1:11" ht="26.25" x14ac:dyDescent="0.3">
      <c r="A1" s="1" t="s">
        <v>0</v>
      </c>
    </row>
    <row r="4" spans="1:11" ht="20.25" x14ac:dyDescent="0.3">
      <c r="A4" s="2" t="s">
        <v>1</v>
      </c>
    </row>
    <row r="6" spans="1:11" x14ac:dyDescent="0.3">
      <c r="A6" s="3" t="s">
        <v>2</v>
      </c>
    </row>
    <row r="8" spans="1:11" x14ac:dyDescent="0.3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</row>
    <row r="9" spans="1:11" x14ac:dyDescent="0.3">
      <c r="A9" s="5" t="s">
        <v>13</v>
      </c>
      <c r="B9" s="6">
        <v>3019500</v>
      </c>
      <c r="C9" s="6">
        <v>4647800</v>
      </c>
      <c r="D9" s="6">
        <v>2904000</v>
      </c>
      <c r="E9" s="6">
        <v>50965900</v>
      </c>
      <c r="F9" s="6">
        <v>1682950</v>
      </c>
      <c r="G9" s="6">
        <v>511000</v>
      </c>
      <c r="H9" s="6">
        <v>1566325</v>
      </c>
      <c r="I9" s="6">
        <v>15090600</v>
      </c>
      <c r="J9" s="6">
        <f>SUM(B9:I9)</f>
        <v>80388075</v>
      </c>
      <c r="K9">
        <v>1</v>
      </c>
    </row>
    <row r="10" spans="1:11" x14ac:dyDescent="0.3">
      <c r="A10" s="5" t="s">
        <v>14</v>
      </c>
      <c r="B10" s="6">
        <v>737000</v>
      </c>
      <c r="C10" s="6">
        <v>8332750</v>
      </c>
      <c r="D10" s="6">
        <v>6699000</v>
      </c>
      <c r="E10" s="6">
        <v>68271275</v>
      </c>
      <c r="F10" s="6">
        <v>2604800</v>
      </c>
      <c r="G10" s="6">
        <v>1525900</v>
      </c>
      <c r="H10" s="6">
        <v>1285500</v>
      </c>
      <c r="I10" s="6">
        <v>1810200</v>
      </c>
      <c r="J10" s="6">
        <f>SUM(B10:I10)</f>
        <v>91266425</v>
      </c>
      <c r="K10">
        <v>2</v>
      </c>
    </row>
    <row r="11" spans="1:11" x14ac:dyDescent="0.3">
      <c r="A11" s="5" t="s">
        <v>15</v>
      </c>
      <c r="B11" s="6">
        <v>1507000</v>
      </c>
      <c r="C11" s="6">
        <v>9608100</v>
      </c>
      <c r="D11" s="6">
        <v>6567000</v>
      </c>
      <c r="E11" s="6">
        <v>74582725</v>
      </c>
      <c r="F11" s="6">
        <v>2772800</v>
      </c>
      <c r="G11" s="6">
        <v>1874700</v>
      </c>
      <c r="H11" s="6">
        <v>527000</v>
      </c>
      <c r="I11" s="6">
        <v>1272600</v>
      </c>
      <c r="J11" s="6">
        <f>SUM(B11:I11)</f>
        <v>98711925</v>
      </c>
      <c r="K11">
        <v>3</v>
      </c>
    </row>
    <row r="12" spans="1:11" x14ac:dyDescent="0.3">
      <c r="A12" s="5" t="s">
        <v>16</v>
      </c>
      <c r="B12" s="6">
        <v>1430000</v>
      </c>
      <c r="C12" s="6">
        <v>10392500</v>
      </c>
      <c r="D12" s="6">
        <v>8129000</v>
      </c>
      <c r="E12" s="6">
        <v>69840750</v>
      </c>
      <c r="F12" s="6">
        <v>2552950</v>
      </c>
      <c r="G12" s="6">
        <v>992900</v>
      </c>
      <c r="H12" s="6">
        <v>527000</v>
      </c>
      <c r="I12" s="6">
        <v>268800</v>
      </c>
      <c r="J12" s="6">
        <f>SUM(B12:I12)</f>
        <v>94133900</v>
      </c>
      <c r="K12">
        <v>4</v>
      </c>
    </row>
    <row r="13" spans="1:11" x14ac:dyDescent="0.3">
      <c r="A13" s="5" t="s">
        <v>17</v>
      </c>
      <c r="B13" s="6">
        <v>1228700</v>
      </c>
      <c r="C13" s="6">
        <v>4374250</v>
      </c>
      <c r="D13" s="6">
        <v>5225000</v>
      </c>
      <c r="E13" s="6">
        <v>71124550</v>
      </c>
      <c r="F13" s="6">
        <v>3462600</v>
      </c>
      <c r="G13" s="6">
        <v>2521400</v>
      </c>
      <c r="H13" s="6">
        <v>605000</v>
      </c>
      <c r="I13" s="6">
        <v>0</v>
      </c>
      <c r="J13" s="6">
        <f>SUM(B13:I13)</f>
        <v>88541500</v>
      </c>
      <c r="K13">
        <v>5</v>
      </c>
    </row>
    <row r="14" spans="1:11" x14ac:dyDescent="0.3">
      <c r="A14" s="5" t="s">
        <v>18</v>
      </c>
      <c r="B14" s="6">
        <v>1317800</v>
      </c>
      <c r="C14" s="6">
        <v>3477950</v>
      </c>
      <c r="D14" s="6">
        <v>3751000</v>
      </c>
      <c r="E14" s="6">
        <v>62973000</v>
      </c>
      <c r="F14" s="6">
        <v>7642250</v>
      </c>
      <c r="G14" s="6">
        <v>1454400</v>
      </c>
      <c r="H14" s="6">
        <v>0</v>
      </c>
      <c r="I14" s="6">
        <v>0</v>
      </c>
      <c r="J14" s="6">
        <f>SUM(B14:I14)</f>
        <v>80616400</v>
      </c>
      <c r="K14">
        <v>6</v>
      </c>
    </row>
    <row r="15" spans="1:11" x14ac:dyDescent="0.3">
      <c r="A15" s="5" t="s">
        <v>19</v>
      </c>
      <c r="B15" s="6">
        <v>1155000</v>
      </c>
      <c r="C15" s="6">
        <v>8542100</v>
      </c>
      <c r="D15" s="6">
        <v>6479000</v>
      </c>
      <c r="E15" s="6">
        <v>74843000</v>
      </c>
      <c r="F15" s="6">
        <v>3190450</v>
      </c>
      <c r="G15" s="6">
        <v>495000</v>
      </c>
      <c r="H15" s="6">
        <v>990000</v>
      </c>
      <c r="I15" s="6">
        <v>0</v>
      </c>
      <c r="J15" s="6">
        <f>SUM(B15:I15)</f>
        <v>95694550</v>
      </c>
      <c r="K15">
        <v>7</v>
      </c>
    </row>
    <row r="16" spans="1:11" x14ac:dyDescent="0.3">
      <c r="A16" s="5" t="s">
        <v>20</v>
      </c>
      <c r="B16" s="6">
        <v>2437700</v>
      </c>
      <c r="C16" s="6">
        <v>17619150</v>
      </c>
      <c r="D16" s="6">
        <v>5896000</v>
      </c>
      <c r="E16" s="6">
        <v>76336175</v>
      </c>
      <c r="F16" s="6">
        <v>4153050</v>
      </c>
      <c r="G16" s="6">
        <v>2420800</v>
      </c>
      <c r="H16" s="6">
        <v>990000</v>
      </c>
      <c r="I16" s="6">
        <v>0</v>
      </c>
      <c r="J16" s="6">
        <f>SUM(B16:I16)</f>
        <v>109852875</v>
      </c>
      <c r="K16">
        <v>8</v>
      </c>
    </row>
    <row r="19" spans="1:3" x14ac:dyDescent="0.3">
      <c r="A19" s="3" t="s">
        <v>21</v>
      </c>
    </row>
    <row r="21" spans="1:3" x14ac:dyDescent="0.3">
      <c r="A21" s="4" t="s">
        <v>22</v>
      </c>
      <c r="B21" s="4" t="s">
        <v>12</v>
      </c>
      <c r="C21" s="4" t="s">
        <v>23</v>
      </c>
    </row>
    <row r="22" spans="1:3" x14ac:dyDescent="0.3">
      <c r="A22" s="5" t="s">
        <v>7</v>
      </c>
      <c r="B22" s="6">
        <f>SUM(E9:E16)</f>
        <v>548937375</v>
      </c>
      <c r="C22" s="7">
        <f>B22/SUM($B$22:$B$29)*100</f>
        <v>74.260440920601738</v>
      </c>
    </row>
    <row r="23" spans="1:3" x14ac:dyDescent="0.3">
      <c r="A23" s="5" t="s">
        <v>5</v>
      </c>
      <c r="B23" s="6">
        <f>SUM(C9:C16)</f>
        <v>66994600</v>
      </c>
      <c r="C23" s="7">
        <f>B23/SUM($B$22:$B$29)*100</f>
        <v>9.0630530218485195</v>
      </c>
    </row>
    <row r="24" spans="1:3" x14ac:dyDescent="0.3">
      <c r="A24" s="5" t="s">
        <v>6</v>
      </c>
      <c r="B24" s="6">
        <f>SUM(D9:D16)</f>
        <v>45650000</v>
      </c>
      <c r="C24" s="7">
        <f>B24/SUM($B$22:$B$29)*100</f>
        <v>6.1755480359220734</v>
      </c>
    </row>
    <row r="25" spans="1:3" x14ac:dyDescent="0.3">
      <c r="A25" s="5" t="s">
        <v>24</v>
      </c>
      <c r="B25" s="6">
        <f>SUM(F9:F16)</f>
        <v>28061850</v>
      </c>
      <c r="C25" s="7">
        <f>B25/SUM($B$22:$B$29)*100</f>
        <v>3.7962169255605667</v>
      </c>
    </row>
    <row r="26" spans="1:3" x14ac:dyDescent="0.3">
      <c r="A26" s="5" t="s">
        <v>11</v>
      </c>
      <c r="B26" s="6">
        <f>SUM(I9:I16)</f>
        <v>18442200</v>
      </c>
      <c r="C26" s="7">
        <f>B26/SUM($B$22:$B$29)*100</f>
        <v>2.4948672943720061</v>
      </c>
    </row>
    <row r="27" spans="1:3" x14ac:dyDescent="0.3">
      <c r="A27" s="5" t="s">
        <v>9</v>
      </c>
      <c r="B27" s="6">
        <f>SUM(G9:G16)</f>
        <v>11796100</v>
      </c>
      <c r="C27" s="7">
        <f>B27/SUM($B$22:$B$29)*100</f>
        <v>1.595780551731443</v>
      </c>
    </row>
    <row r="28" spans="1:3" x14ac:dyDescent="0.3">
      <c r="A28" s="5" t="s">
        <v>4</v>
      </c>
      <c r="B28" s="6">
        <f>SUM(B9:B16)</f>
        <v>12832700</v>
      </c>
      <c r="C28" s="7">
        <f>B28/SUM($B$22:$B$29)*100</f>
        <v>1.7360121638680657</v>
      </c>
    </row>
    <row r="29" spans="1:3" x14ac:dyDescent="0.3">
      <c r="A29" s="5" t="s">
        <v>10</v>
      </c>
      <c r="B29" s="6">
        <f>SUM(H9:H16)</f>
        <v>6490825</v>
      </c>
      <c r="C29" s="7">
        <f>B29/SUM($B$22:$B$29)*100</f>
        <v>0.87808108609559476</v>
      </c>
    </row>
    <row r="30" spans="1:3" x14ac:dyDescent="0.3">
      <c r="A30" s="8" t="s">
        <v>25</v>
      </c>
      <c r="B30" s="6">
        <f>SUM(B22:B29)</f>
        <v>739205650</v>
      </c>
      <c r="C30" s="7">
        <f>SUM(C22:C29)</f>
        <v>100</v>
      </c>
    </row>
    <row r="34" spans="1:6" x14ac:dyDescent="0.3">
      <c r="A34" s="3" t="s">
        <v>26</v>
      </c>
    </row>
    <row r="36" spans="1:6" x14ac:dyDescent="0.3">
      <c r="A36" s="4" t="s">
        <v>22</v>
      </c>
      <c r="B36" s="4" t="s">
        <v>27</v>
      </c>
      <c r="C36" s="4" t="s">
        <v>28</v>
      </c>
      <c r="D36" s="4" t="s">
        <v>29</v>
      </c>
      <c r="E36" s="4" t="s">
        <v>30</v>
      </c>
      <c r="F36" s="4" t="s">
        <v>31</v>
      </c>
    </row>
    <row r="37" spans="1:6" x14ac:dyDescent="0.3">
      <c r="A37" s="5" t="s">
        <v>4</v>
      </c>
      <c r="B37" s="6">
        <f>AVERAGE(B9:B16)</f>
        <v>1604087.5</v>
      </c>
      <c r="C37" s="6">
        <f>MIN(B9:B16)</f>
        <v>737000</v>
      </c>
      <c r="D37" s="6">
        <f>MAX(B9:B16)</f>
        <v>3019500</v>
      </c>
      <c r="E37" s="6">
        <f>STDEV(B9:B16)</f>
        <v>747799.76395040785</v>
      </c>
      <c r="F37" s="7">
        <f>E37/B37*100</f>
        <v>46.618389829133875</v>
      </c>
    </row>
    <row r="38" spans="1:6" x14ac:dyDescent="0.3">
      <c r="A38" s="5" t="s">
        <v>5</v>
      </c>
      <c r="B38" s="6">
        <f>AVERAGE(C9:C16)</f>
        <v>8374325</v>
      </c>
      <c r="C38" s="6">
        <f>MIN(C9:C16)</f>
        <v>3477950</v>
      </c>
      <c r="D38" s="6">
        <f>MAX(C9:C16)</f>
        <v>17619150</v>
      </c>
      <c r="E38" s="6">
        <f>STDEV(C9:C16)</f>
        <v>4550572.5544783296</v>
      </c>
      <c r="F38" s="7">
        <f>E38/B38*100</f>
        <v>54.339574287818181</v>
      </c>
    </row>
    <row r="39" spans="1:6" x14ac:dyDescent="0.3">
      <c r="A39" s="5" t="s">
        <v>6</v>
      </c>
      <c r="B39" s="6">
        <f>AVERAGE(D9:D16)</f>
        <v>5706250</v>
      </c>
      <c r="C39" s="6">
        <f>MIN(D9:D16)</f>
        <v>2904000</v>
      </c>
      <c r="D39" s="6">
        <f>MAX(D9:D16)</f>
        <v>8129000</v>
      </c>
      <c r="E39" s="6">
        <f>STDEV(D9:D16)</f>
        <v>1696067.615734366</v>
      </c>
      <c r="F39" s="7">
        <f>E39/B39*100</f>
        <v>29.722981217688783</v>
      </c>
    </row>
    <row r="40" spans="1:6" x14ac:dyDescent="0.3">
      <c r="A40" s="5" t="s">
        <v>7</v>
      </c>
      <c r="B40" s="6">
        <f>AVERAGE(E9:E16)</f>
        <v>68617171.875</v>
      </c>
      <c r="C40" s="6">
        <f>MIN(E9:E16)</f>
        <v>50965900</v>
      </c>
      <c r="D40" s="6">
        <f>MAX(E9:E16)</f>
        <v>76336175</v>
      </c>
      <c r="E40" s="6">
        <f>STDEV(E9:E16)</f>
        <v>8326031.2726373337</v>
      </c>
      <c r="F40" s="7">
        <f>E40/B40*100</f>
        <v>12.134034448118726</v>
      </c>
    </row>
    <row r="41" spans="1:6" x14ac:dyDescent="0.3">
      <c r="A41" s="5" t="s">
        <v>8</v>
      </c>
      <c r="B41" s="6">
        <f>AVERAGE(F9:F16)</f>
        <v>3507731.25</v>
      </c>
      <c r="C41" s="6">
        <f>MIN(F9:F16)</f>
        <v>1682950</v>
      </c>
      <c r="D41" s="6">
        <f>MAX(F9:F16)</f>
        <v>7642250</v>
      </c>
      <c r="E41" s="6">
        <f>STDEV(F9:F16)</f>
        <v>1820919.2511588952</v>
      </c>
      <c r="F41" s="7">
        <f>E41/B41*100</f>
        <v>51.911595312750805</v>
      </c>
    </row>
    <row r="42" spans="1:6" x14ac:dyDescent="0.3">
      <c r="A42" s="5" t="s">
        <v>9</v>
      </c>
      <c r="B42" s="6">
        <f>AVERAGE(G9:G16)</f>
        <v>1474512.5</v>
      </c>
      <c r="C42" s="6">
        <f>MIN(G9:G16)</f>
        <v>495000</v>
      </c>
      <c r="D42" s="6">
        <f>MAX(G9:G16)</f>
        <v>2521400</v>
      </c>
      <c r="E42" s="6">
        <f>STDEV(G9:G16)</f>
        <v>781425.47115146287</v>
      </c>
      <c r="F42" s="7">
        <f>E42/B42*100</f>
        <v>52.995513510496714</v>
      </c>
    </row>
    <row r="43" spans="1:6" x14ac:dyDescent="0.3">
      <c r="A43" s="5" t="s">
        <v>10</v>
      </c>
      <c r="B43" s="6">
        <f>AVERAGE(H9:H16)</f>
        <v>811353.125</v>
      </c>
      <c r="C43" s="6">
        <f>MIN(H9:H16)</f>
        <v>0</v>
      </c>
      <c r="D43" s="6">
        <f>MAX(H9:H16)</f>
        <v>1566325</v>
      </c>
      <c r="E43" s="6">
        <f>STDEV(H9:H16)</f>
        <v>495870.96651777049</v>
      </c>
      <c r="F43" s="7">
        <f>E43/B43*100</f>
        <v>61.11654115065749</v>
      </c>
    </row>
    <row r="44" spans="1:6" x14ac:dyDescent="0.3">
      <c r="A44" s="5" t="s">
        <v>11</v>
      </c>
      <c r="B44" s="6">
        <f>AVERAGE(I9:I16)</f>
        <v>2305275</v>
      </c>
      <c r="C44" s="6">
        <f>MIN(I9:I16)</f>
        <v>0</v>
      </c>
      <c r="D44" s="6">
        <f>MAX(I9:I16)</f>
        <v>15090600</v>
      </c>
      <c r="E44" s="6">
        <f>STDEV(I9:I16)</f>
        <v>5212354.1979608405</v>
      </c>
      <c r="F44" s="7">
        <f>E44/B44*100</f>
        <v>226.10552745164202</v>
      </c>
    </row>
    <row r="47" spans="1:6" x14ac:dyDescent="0.3">
      <c r="A47" s="3" t="s">
        <v>32</v>
      </c>
    </row>
    <row r="49" spans="1:1" x14ac:dyDescent="0.3">
      <c r="A49" s="9" t="s">
        <v>33</v>
      </c>
    </row>
    <row r="50" spans="1:1" x14ac:dyDescent="0.3">
      <c r="A50" t="s">
        <v>34</v>
      </c>
    </row>
    <row r="51" spans="1:1" x14ac:dyDescent="0.3">
      <c r="A51" t="s">
        <v>35</v>
      </c>
    </row>
    <row r="52" spans="1:1" x14ac:dyDescent="0.3">
      <c r="A52" t="s">
        <v>36</v>
      </c>
    </row>
    <row r="54" spans="1:1" x14ac:dyDescent="0.3">
      <c r="A54" s="9" t="s">
        <v>37</v>
      </c>
    </row>
    <row r="55" spans="1:1" x14ac:dyDescent="0.3">
      <c r="A55" t="e" cm="1">
        <f t="array" ref="A55">- 전반적으로 매출 증가 추세 (성장세 유지 중)</f>
        <v>#NAME?</v>
      </c>
    </row>
    <row r="56" spans="1:1" x14ac:dyDescent="0.3">
      <c r="A56" t="s">
        <v>38</v>
      </c>
    </row>
    <row r="57" spans="1:1" x14ac:dyDescent="0.3">
      <c r="A57" t="s">
        <v>39</v>
      </c>
    </row>
    <row r="59" spans="1:1" x14ac:dyDescent="0.3">
      <c r="A59" s="9" t="s">
        <v>40</v>
      </c>
    </row>
    <row r="60" spans="1:1" x14ac:dyDescent="0.3">
      <c r="A60" t="e" cm="1">
        <f t="array" ref="A60">- 프로모션 매출의 변동계수가 가장 높음 (불안정)</f>
        <v>#NAME?</v>
      </c>
    </row>
    <row r="61" spans="1:1" x14ac:dyDescent="0.3">
      <c r="A61" t="e" cm="1">
        <f t="array" ref="A61">- THE_BELLE_SIGNATURE는 안정적인 매출 유지 (핵심 수익원)</f>
        <v>#NAME?</v>
      </c>
    </row>
    <row r="62" spans="1:1" x14ac:dyDescent="0.3">
      <c r="A62" t="e" cm="1">
        <f t="array" ref="A62">- 기타 매출도 변동성이 큼 (관리 필요)</f>
        <v>#NAME?</v>
      </c>
    </row>
    <row r="66" spans="1:10" ht="20.25" x14ac:dyDescent="0.3">
      <c r="A66" s="2" t="s">
        <v>41</v>
      </c>
    </row>
    <row r="68" spans="1:10" x14ac:dyDescent="0.3">
      <c r="A68" s="3" t="s">
        <v>42</v>
      </c>
    </row>
    <row r="70" spans="1:10" x14ac:dyDescent="0.3">
      <c r="A70" s="4"/>
      <c r="B70" s="4" t="s">
        <v>4</v>
      </c>
      <c r="C70" s="4" t="s">
        <v>5</v>
      </c>
      <c r="D70" s="4" t="s">
        <v>43</v>
      </c>
      <c r="E70" s="4" t="s">
        <v>44</v>
      </c>
      <c r="F70" s="4" t="s">
        <v>45</v>
      </c>
      <c r="G70" s="4" t="s">
        <v>9</v>
      </c>
      <c r="H70" s="4" t="s">
        <v>10</v>
      </c>
      <c r="I70" s="4" t="s">
        <v>11</v>
      </c>
      <c r="J70" s="4" t="s">
        <v>12</v>
      </c>
    </row>
    <row r="71" spans="1:10" x14ac:dyDescent="0.3">
      <c r="A71" s="8" t="s">
        <v>4</v>
      </c>
      <c r="B71" s="10">
        <f>CORREL(B9:B16,B9:B16)</f>
        <v>1</v>
      </c>
      <c r="C71" s="10">
        <f>CORREL(B9:B16,C9:C16)</f>
        <v>0.20255567066735092</v>
      </c>
      <c r="D71" s="10">
        <f>CORREL(B9:B16,D9:D16)</f>
        <v>-0.53849848451142357</v>
      </c>
      <c r="E71" s="10">
        <f>CORREL(B9:B16,E9:E16)</f>
        <v>-0.48556906053699844</v>
      </c>
      <c r="F71" s="10">
        <f>CORREL(B9:B16,F9:F16)</f>
        <v>-0.21492480813949891</v>
      </c>
      <c r="G71" s="10">
        <f>CORREL(B9:B16,G9:G16)</f>
        <v>-0.12757579059810606</v>
      </c>
      <c r="H71" s="10">
        <f>CORREL(B9:B16,H9:H16)</f>
        <v>0.42879468952204491</v>
      </c>
      <c r="I71" s="10">
        <f>CORREL(B9:B16,I9:I16)</f>
        <v>0.71906818152475116</v>
      </c>
      <c r="J71" s="10">
        <f>CORREL(B9:B16,J9:J16)</f>
        <v>1.8876822550233565E-2</v>
      </c>
    </row>
    <row r="72" spans="1:10" x14ac:dyDescent="0.3">
      <c r="A72" s="8" t="s">
        <v>5</v>
      </c>
      <c r="B72" s="10">
        <f>CORREL(C9:C16,B9:B16)</f>
        <v>0.20255567066735092</v>
      </c>
      <c r="C72" s="10">
        <f>CORREL(C9:C16,C9:C16)</f>
        <v>1</v>
      </c>
      <c r="D72" s="10">
        <f>CORREL(C9:C16,D9:D16)</f>
        <v>0.55038518543460635</v>
      </c>
      <c r="E72" s="10">
        <f>CORREL(C9:C16,E9:E16)</f>
        <v>0.62451952053444137</v>
      </c>
      <c r="F72" s="10">
        <f>CORREL(C9:C16,F9:F16)</f>
        <v>-0.17493786788526691</v>
      </c>
      <c r="G72" s="10">
        <f>CORREL(C9:C16,G9:G16)</f>
        <v>0.30552374684321881</v>
      </c>
      <c r="H72" s="10">
        <f>CORREL(C9:C16,H9:H16)</f>
        <v>0.17231592470808452</v>
      </c>
      <c r="I72" s="10">
        <f>CORREL(C9:C16,I9:I16)</f>
        <v>-0.32642740879100868</v>
      </c>
      <c r="J72" s="10">
        <f>CORREL(C9:C16,J9:J16)</f>
        <v>0.94294146055399264</v>
      </c>
    </row>
    <row r="73" spans="1:10" x14ac:dyDescent="0.3">
      <c r="A73" s="8" t="s">
        <v>43</v>
      </c>
      <c r="B73" s="10">
        <f>CORREL(D9:D16,B9:B16)</f>
        <v>-0.53849848451142357</v>
      </c>
      <c r="C73" s="10">
        <f>CORREL(D9:D16,C9:C16)</f>
        <v>0.55038518543460635</v>
      </c>
      <c r="D73" s="10">
        <f>CORREL(D9:D16,D9:D16)</f>
        <v>1</v>
      </c>
      <c r="E73" s="10">
        <f>CORREL(D9:D16,E9:E16)</f>
        <v>0.74176539067223124</v>
      </c>
      <c r="F73" s="10">
        <f>CORREL(D9:D16,F9:F16)</f>
        <v>-0.31980051846339003</v>
      </c>
      <c r="G73" s="10">
        <f>CORREL(D9:D16,G9:G16)</f>
        <v>9.5586867452755131E-2</v>
      </c>
      <c r="H73" s="10">
        <f>CORREL(D9:D16,H9:H16)</f>
        <v>-0.12245703254819509</v>
      </c>
      <c r="I73" s="10">
        <f>CORREL(D9:D16,I9:I16)</f>
        <v>-0.62607818804121473</v>
      </c>
      <c r="J73" s="10">
        <f>CORREL(D9:D16,J9:J16)</f>
        <v>0.63370508342462128</v>
      </c>
    </row>
    <row r="74" spans="1:10" x14ac:dyDescent="0.3">
      <c r="A74" s="8" t="s">
        <v>44</v>
      </c>
      <c r="B74" s="10">
        <f>CORREL(E9:E16,B9:B16)</f>
        <v>-0.48556906053699844</v>
      </c>
      <c r="C74" s="10">
        <f>CORREL(E9:E16,C9:C16)</f>
        <v>0.62451952053444137</v>
      </c>
      <c r="D74" s="10">
        <f>CORREL(E9:E16,D9:D16)</f>
        <v>0.74176539067223124</v>
      </c>
      <c r="E74" s="10">
        <f>CORREL(E9:E16,E9:E16)</f>
        <v>1</v>
      </c>
      <c r="F74" s="10">
        <f>CORREL(E9:E16,F9:F16)</f>
        <v>6.1495004716950533E-2</v>
      </c>
      <c r="G74" s="10">
        <f>CORREL(E9:E16,G9:G16)</f>
        <v>0.49913206217755141</v>
      </c>
      <c r="H74" s="10">
        <f>CORREL(E9:E16,H9:H16)</f>
        <v>-0.31076529272844367</v>
      </c>
      <c r="I74" s="10">
        <f>CORREL(E9:E16,I9:I16)</f>
        <v>-0.85281226793692821</v>
      </c>
      <c r="J74" s="10">
        <f>CORREL(E9:E16,J9:J16)</f>
        <v>0.82183695615593366</v>
      </c>
    </row>
    <row r="75" spans="1:10" x14ac:dyDescent="0.3">
      <c r="A75" s="8" t="s">
        <v>45</v>
      </c>
      <c r="B75" s="10">
        <f>CORREL(F9:F16,B9:B16)</f>
        <v>-0.21492480813949891</v>
      </c>
      <c r="C75" s="10">
        <f>CORREL(F9:F16,C9:C16)</f>
        <v>-0.17493786788526691</v>
      </c>
      <c r="D75" s="10">
        <f>CORREL(F9:F16,D9:D16)</f>
        <v>-0.31980051846339003</v>
      </c>
      <c r="E75" s="10">
        <f>CORREL(F9:F16,E9:E16)</f>
        <v>6.1495004716950533E-2</v>
      </c>
      <c r="F75" s="10">
        <f>CORREL(F9:F16,F9:F16)</f>
        <v>1</v>
      </c>
      <c r="G75" s="10">
        <f>CORREL(F9:F16,G9:G16)</f>
        <v>0.26791721428882265</v>
      </c>
      <c r="H75" s="10">
        <f>CORREL(F9:F16,H9:H16)</f>
        <v>-0.72967027241275306</v>
      </c>
      <c r="I75" s="10">
        <f>CORREL(F9:F16,I9:I16)</f>
        <v>-0.45701289207179235</v>
      </c>
      <c r="J75" s="10">
        <f>CORREL(F9:F16,J9:J16)</f>
        <v>-0.17547951972706363</v>
      </c>
    </row>
    <row r="76" spans="1:10" x14ac:dyDescent="0.3">
      <c r="A76" s="8" t="s">
        <v>9</v>
      </c>
      <c r="B76" s="10">
        <f>CORREL(G9:G16,B9:B16)</f>
        <v>-0.12757579059810606</v>
      </c>
      <c r="C76" s="10">
        <f>CORREL(G9:G16,C9:C16)</f>
        <v>0.30552374684321881</v>
      </c>
      <c r="D76" s="10">
        <f>CORREL(G9:G16,D9:D16)</f>
        <v>9.5586867452755131E-2</v>
      </c>
      <c r="E76" s="10">
        <f>CORREL(G9:G16,E9:E16)</f>
        <v>0.49913206217755141</v>
      </c>
      <c r="F76" s="10">
        <f>CORREL(G9:G16,F9:F16)</f>
        <v>0.26791721428882265</v>
      </c>
      <c r="G76" s="10">
        <f>CORREL(G9:G16,G9:G16)</f>
        <v>1</v>
      </c>
      <c r="H76" s="10">
        <f>CORREL(G9:G16,H9:H16)</f>
        <v>-0.32648236043736967</v>
      </c>
      <c r="I76" s="10">
        <f>CORREL(G9:G16,I9:I16)</f>
        <v>-0.49338535325493071</v>
      </c>
      <c r="J76" s="10">
        <f>CORREL(G9:G16,J9:J16)</f>
        <v>0.42801059022659632</v>
      </c>
    </row>
    <row r="77" spans="1:10" x14ac:dyDescent="0.3">
      <c r="A77" s="8" t="s">
        <v>10</v>
      </c>
      <c r="B77" s="10">
        <f>CORREL(H9:H16,B9:B16)</f>
        <v>0.42879468952204491</v>
      </c>
      <c r="C77" s="10">
        <f>CORREL(H9:H16,C9:C16)</f>
        <v>0.17231592470808452</v>
      </c>
      <c r="D77" s="10">
        <f>CORREL(H9:H16,D9:D16)</f>
        <v>-0.12245703254819509</v>
      </c>
      <c r="E77" s="10">
        <f>CORREL(H9:H16,E9:E16)</f>
        <v>-0.31076529272844367</v>
      </c>
      <c r="F77" s="10">
        <f>CORREL(H9:H16,F9:F16)</f>
        <v>-0.72967027241275306</v>
      </c>
      <c r="G77" s="10">
        <f>CORREL(H9:H16,G9:G16)</f>
        <v>-0.32648236043736967</v>
      </c>
      <c r="H77" s="10">
        <f>CORREL(H9:H16,H9:H16)</f>
        <v>1.0000000000000002</v>
      </c>
      <c r="I77" s="10">
        <f>CORREL(H9:H16,I9:I16)</f>
        <v>0.65291813315824865</v>
      </c>
      <c r="J77" s="10">
        <f>CORREL(H9:H16,J9:J16)</f>
        <v>6.4479639111194267E-2</v>
      </c>
    </row>
    <row r="78" spans="1:10" x14ac:dyDescent="0.3">
      <c r="A78" s="8" t="s">
        <v>11</v>
      </c>
      <c r="B78" s="10">
        <f>CORREL(I9:I16,B9:B16)</f>
        <v>0.71906818152475116</v>
      </c>
      <c r="C78" s="10">
        <f>CORREL(I9:I16,C9:C16)</f>
        <v>-0.32642740879100868</v>
      </c>
      <c r="D78" s="10">
        <f>CORREL(I9:I16,D9:D16)</f>
        <v>-0.62607818804121473</v>
      </c>
      <c r="E78" s="10">
        <f>CORREL(I9:I16,E9:E16)</f>
        <v>-0.85281226793692821</v>
      </c>
      <c r="F78" s="10">
        <f>CORREL(I9:I16,F9:F16)</f>
        <v>-0.45701289207179235</v>
      </c>
      <c r="G78" s="10">
        <f>CORREL(I9:I16,G9:G16)</f>
        <v>-0.49338535325493071</v>
      </c>
      <c r="H78" s="10">
        <f>CORREL(I9:I16,H9:H16)</f>
        <v>0.65291813315824865</v>
      </c>
      <c r="I78" s="10">
        <f>CORREL(I9:I16,I9:I16)</f>
        <v>1.0000000000000002</v>
      </c>
      <c r="J78" s="10">
        <f>CORREL(I9:I16,J9:J16)</f>
        <v>-0.49437392056560836</v>
      </c>
    </row>
    <row r="79" spans="1:10" x14ac:dyDescent="0.3">
      <c r="A79" s="8" t="s">
        <v>12</v>
      </c>
      <c r="B79" s="10">
        <f>CORREL(J9:J16,B9:B16)</f>
        <v>1.8876822550233565E-2</v>
      </c>
      <c r="C79" s="10">
        <f>CORREL(J9:J16,C9:C16)</f>
        <v>0.94294146055399264</v>
      </c>
      <c r="D79" s="10">
        <f>CORREL(J9:J16,D9:D16)</f>
        <v>0.63370508342462128</v>
      </c>
      <c r="E79" s="10">
        <f>CORREL(J9:J16,E9:E16)</f>
        <v>0.82183695615593366</v>
      </c>
      <c r="F79" s="10">
        <f>CORREL(J9:J16,F9:F16)</f>
        <v>-0.17547951972706363</v>
      </c>
      <c r="G79" s="10">
        <f>CORREL(J9:J16,G9:G16)</f>
        <v>0.42801059022659632</v>
      </c>
      <c r="H79" s="10">
        <f>CORREL(J9:J16,H9:H16)</f>
        <v>6.4479639111194267E-2</v>
      </c>
      <c r="I79" s="10">
        <f>CORREL(J9:J16,I9:I16)</f>
        <v>-0.49437392056560836</v>
      </c>
      <c r="J79" s="10">
        <f>CORREL(J9:J16,J9:J16)</f>
        <v>1.0000000000000002</v>
      </c>
    </row>
    <row r="82" spans="1:3" x14ac:dyDescent="0.3">
      <c r="A82" s="3" t="s">
        <v>46</v>
      </c>
    </row>
    <row r="84" spans="1:3" x14ac:dyDescent="0.3">
      <c r="A84" s="4" t="s">
        <v>3</v>
      </c>
      <c r="B84" s="4" t="s">
        <v>12</v>
      </c>
      <c r="C84" s="4" t="s">
        <v>47</v>
      </c>
    </row>
    <row r="85" spans="1:3" x14ac:dyDescent="0.3">
      <c r="A85" s="5" t="s">
        <v>13</v>
      </c>
      <c r="B85" s="6">
        <f>J9</f>
        <v>80388075</v>
      </c>
      <c r="C85" s="5" t="s">
        <v>48</v>
      </c>
    </row>
    <row r="86" spans="1:3" x14ac:dyDescent="0.3">
      <c r="A86" s="5" t="s">
        <v>14</v>
      </c>
      <c r="B86" s="6">
        <f>J10</f>
        <v>91266425</v>
      </c>
      <c r="C86" s="7">
        <f>(B86-B85)/B85*100</f>
        <v>13.532293191496375</v>
      </c>
    </row>
    <row r="87" spans="1:3" x14ac:dyDescent="0.3">
      <c r="A87" s="5" t="s">
        <v>15</v>
      </c>
      <c r="B87" s="6">
        <f>J11</f>
        <v>98711925</v>
      </c>
      <c r="C87" s="7">
        <f>(B87-B86)/B86*100</f>
        <v>8.1579836177433265</v>
      </c>
    </row>
    <row r="88" spans="1:3" x14ac:dyDescent="0.3">
      <c r="A88" s="5" t="s">
        <v>16</v>
      </c>
      <c r="B88" s="6">
        <f>J12</f>
        <v>94133900</v>
      </c>
      <c r="C88" s="7">
        <f>(B88-B87)/B87*100</f>
        <v>-4.6377628640106048</v>
      </c>
    </row>
    <row r="89" spans="1:3" x14ac:dyDescent="0.3">
      <c r="A89" s="5" t="s">
        <v>17</v>
      </c>
      <c r="B89" s="6">
        <f>J13</f>
        <v>88541500</v>
      </c>
      <c r="C89" s="7">
        <f>(B89-B88)/B88*100</f>
        <v>-5.9408990809899516</v>
      </c>
    </row>
    <row r="90" spans="1:3" x14ac:dyDescent="0.3">
      <c r="A90" s="5" t="s">
        <v>18</v>
      </c>
      <c r="B90" s="6">
        <f>J14</f>
        <v>80616400</v>
      </c>
      <c r="C90" s="7">
        <f>(B90-B89)/B89*100</f>
        <v>-8.9507180248809881</v>
      </c>
    </row>
    <row r="91" spans="1:3" x14ac:dyDescent="0.3">
      <c r="A91" s="5" t="s">
        <v>19</v>
      </c>
      <c r="B91" s="6">
        <f>J15</f>
        <v>95694550</v>
      </c>
      <c r="C91" s="7">
        <f>(B91-B90)/B90*100</f>
        <v>18.703576443502811</v>
      </c>
    </row>
    <row r="92" spans="1:3" x14ac:dyDescent="0.3">
      <c r="A92" s="5" t="s">
        <v>20</v>
      </c>
      <c r="B92" s="6">
        <f>J16</f>
        <v>109852875</v>
      </c>
      <c r="C92" s="7">
        <f>(B92-B91)/B91*100</f>
        <v>14.795330559577321</v>
      </c>
    </row>
    <row r="93" spans="1:3" x14ac:dyDescent="0.3">
      <c r="A93" s="8" t="s">
        <v>49</v>
      </c>
      <c r="B93" s="6">
        <f>AVERAGE(B85:B92)</f>
        <v>92400706.25</v>
      </c>
      <c r="C93" s="7">
        <f>AVERAGE(C86:C92)</f>
        <v>5.0942576917768987</v>
      </c>
    </row>
    <row r="96" spans="1:3" x14ac:dyDescent="0.3">
      <c r="A96" s="3" t="s">
        <v>50</v>
      </c>
    </row>
    <row r="98" spans="1:3" x14ac:dyDescent="0.3">
      <c r="A98" s="4" t="s">
        <v>51</v>
      </c>
      <c r="B98" s="4" t="s">
        <v>52</v>
      </c>
      <c r="C98" s="4" t="s">
        <v>53</v>
      </c>
    </row>
    <row r="99" spans="1:3" x14ac:dyDescent="0.3">
      <c r="A99" s="5" t="s">
        <v>54</v>
      </c>
      <c r="B99" s="6">
        <f>SLOPE(J9:J16,K9:K16)</f>
        <v>2006133.9285714286</v>
      </c>
      <c r="C99" s="5" t="s">
        <v>55</v>
      </c>
    </row>
    <row r="100" spans="1:3" x14ac:dyDescent="0.3">
      <c r="A100" s="5" t="s">
        <v>56</v>
      </c>
      <c r="B100" s="6">
        <f>INTERCEPT(J9:J16,K9:K16)</f>
        <v>83373103.571428567</v>
      </c>
      <c r="C100" s="5" t="s">
        <v>57</v>
      </c>
    </row>
    <row r="101" spans="1:3" x14ac:dyDescent="0.3">
      <c r="A101" s="5" t="s">
        <v>58</v>
      </c>
      <c r="B101" s="11">
        <f>RSQ(J9:J16,K9:K16)</f>
        <v>0.25703754894919612</v>
      </c>
      <c r="C101" s="5" t="s">
        <v>59</v>
      </c>
    </row>
    <row r="102" spans="1:3" x14ac:dyDescent="0.3">
      <c r="A102" s="5" t="s">
        <v>60</v>
      </c>
      <c r="B102" s="6">
        <f>FORECAST(9,J9:J16,K9:K16)</f>
        <v>101428308.92857143</v>
      </c>
      <c r="C102" s="5" t="s">
        <v>61</v>
      </c>
    </row>
    <row r="103" spans="1:3" x14ac:dyDescent="0.3">
      <c r="A103" s="5" t="s">
        <v>62</v>
      </c>
      <c r="B103" s="6">
        <f>FORECAST(10,J9:J16,K9:K16)</f>
        <v>103434442.85714285</v>
      </c>
      <c r="C103" s="5" t="s">
        <v>63</v>
      </c>
    </row>
    <row r="107" spans="1:3" ht="20.25" x14ac:dyDescent="0.3">
      <c r="A107" s="2" t="s">
        <v>64</v>
      </c>
    </row>
    <row r="109" spans="1:3" x14ac:dyDescent="0.3">
      <c r="A109" s="3" t="s">
        <v>65</v>
      </c>
    </row>
    <row r="111" spans="1:3" x14ac:dyDescent="0.3">
      <c r="A111" s="12" t="s">
        <v>66</v>
      </c>
      <c r="B111" s="12" t="s">
        <v>67</v>
      </c>
      <c r="C111" s="12" t="s">
        <v>68</v>
      </c>
    </row>
    <row r="112" spans="1:3" x14ac:dyDescent="0.3">
      <c r="A112" s="5">
        <v>1</v>
      </c>
      <c r="B112" s="5" t="s">
        <v>69</v>
      </c>
      <c r="C112" s="5" t="s">
        <v>70</v>
      </c>
    </row>
    <row r="113" spans="1:3" x14ac:dyDescent="0.3">
      <c r="A113" s="5">
        <v>2</v>
      </c>
      <c r="B113" s="5" t="s">
        <v>71</v>
      </c>
      <c r="C113" s="5" t="s">
        <v>72</v>
      </c>
    </row>
    <row r="114" spans="1:3" x14ac:dyDescent="0.3">
      <c r="A114" s="5">
        <v>3</v>
      </c>
      <c r="B114" s="5" t="s">
        <v>73</v>
      </c>
      <c r="C114" s="5" t="s">
        <v>74</v>
      </c>
    </row>
    <row r="115" spans="1:3" x14ac:dyDescent="0.3">
      <c r="A115" s="5">
        <v>4</v>
      </c>
      <c r="B115" s="5" t="s">
        <v>75</v>
      </c>
      <c r="C115" s="5" t="s">
        <v>76</v>
      </c>
    </row>
    <row r="116" spans="1:3" x14ac:dyDescent="0.3">
      <c r="A116" s="5">
        <v>5</v>
      </c>
      <c r="B116" s="5" t="s">
        <v>77</v>
      </c>
      <c r="C116" s="5" t="s">
        <v>78</v>
      </c>
    </row>
    <row r="119" spans="1:3" x14ac:dyDescent="0.3">
      <c r="A119" s="3" t="s">
        <v>79</v>
      </c>
    </row>
    <row r="121" spans="1:3" x14ac:dyDescent="0.3">
      <c r="A121" s="13" t="s">
        <v>66</v>
      </c>
      <c r="B121" s="13" t="s">
        <v>80</v>
      </c>
      <c r="C121" s="13" t="s">
        <v>68</v>
      </c>
    </row>
    <row r="122" spans="1:3" x14ac:dyDescent="0.3">
      <c r="A122" s="5">
        <v>1</v>
      </c>
      <c r="B122" s="5" t="s">
        <v>81</v>
      </c>
      <c r="C122" s="5" t="s">
        <v>82</v>
      </c>
    </row>
    <row r="123" spans="1:3" x14ac:dyDescent="0.3">
      <c r="A123" s="5">
        <v>2</v>
      </c>
      <c r="B123" s="5" t="s">
        <v>83</v>
      </c>
      <c r="C123" s="5" t="s">
        <v>84</v>
      </c>
    </row>
    <row r="124" spans="1:3" x14ac:dyDescent="0.3">
      <c r="A124" s="5">
        <v>3</v>
      </c>
      <c r="B124" s="5" t="s">
        <v>85</v>
      </c>
      <c r="C124" s="5" t="s">
        <v>86</v>
      </c>
    </row>
    <row r="125" spans="1:3" x14ac:dyDescent="0.3">
      <c r="A125" s="5">
        <v>4</v>
      </c>
      <c r="B125" s="5" t="s">
        <v>87</v>
      </c>
      <c r="C125" s="5" t="s">
        <v>88</v>
      </c>
    </row>
    <row r="126" spans="1:3" x14ac:dyDescent="0.3">
      <c r="A126" s="5">
        <v>5</v>
      </c>
      <c r="B126" s="5" t="s">
        <v>89</v>
      </c>
      <c r="C126" s="5" t="s">
        <v>90</v>
      </c>
    </row>
    <row r="129" spans="1:6" x14ac:dyDescent="0.3">
      <c r="A129" s="3" t="s">
        <v>91</v>
      </c>
    </row>
    <row r="131" spans="1:6" x14ac:dyDescent="0.3">
      <c r="A131" s="4" t="s">
        <v>80</v>
      </c>
      <c r="B131" s="4" t="s">
        <v>92</v>
      </c>
      <c r="C131" s="4" t="s">
        <v>93</v>
      </c>
    </row>
    <row r="132" spans="1:6" x14ac:dyDescent="0.3">
      <c r="A132" s="5" t="s">
        <v>94</v>
      </c>
      <c r="B132" s="5" t="s">
        <v>95</v>
      </c>
      <c r="C132" s="5" t="s">
        <v>96</v>
      </c>
    </row>
    <row r="133" spans="1:6" x14ac:dyDescent="0.3">
      <c r="A133" s="5" t="s">
        <v>83</v>
      </c>
      <c r="B133" s="5" t="s">
        <v>97</v>
      </c>
      <c r="C133" s="5" t="s">
        <v>98</v>
      </c>
    </row>
    <row r="134" spans="1:6" x14ac:dyDescent="0.3">
      <c r="A134" s="5" t="s">
        <v>99</v>
      </c>
      <c r="B134" s="5" t="s">
        <v>100</v>
      </c>
      <c r="C134" s="5" t="s">
        <v>101</v>
      </c>
    </row>
    <row r="135" spans="1:6" x14ac:dyDescent="0.3">
      <c r="A135" s="5" t="s">
        <v>87</v>
      </c>
      <c r="B135" s="5" t="s">
        <v>102</v>
      </c>
      <c r="C135" s="5" t="s">
        <v>103</v>
      </c>
    </row>
    <row r="136" spans="1:6" x14ac:dyDescent="0.3">
      <c r="A136" s="5" t="s">
        <v>104</v>
      </c>
      <c r="B136" s="5" t="s">
        <v>105</v>
      </c>
      <c r="C136" s="5" t="s">
        <v>106</v>
      </c>
    </row>
    <row r="140" spans="1:6" ht="20.25" x14ac:dyDescent="0.3">
      <c r="A140" s="2" t="s">
        <v>107</v>
      </c>
    </row>
    <row r="142" spans="1:6" x14ac:dyDescent="0.3">
      <c r="A142" s="3" t="s">
        <v>108</v>
      </c>
    </row>
    <row r="144" spans="1:6" x14ac:dyDescent="0.3">
      <c r="A144" s="4" t="s">
        <v>109</v>
      </c>
      <c r="B144" s="4" t="s">
        <v>110</v>
      </c>
      <c r="C144" s="4" t="s">
        <v>111</v>
      </c>
      <c r="D144" s="4" t="s">
        <v>112</v>
      </c>
      <c r="E144" s="4" t="s">
        <v>113</v>
      </c>
      <c r="F144" s="4" t="s">
        <v>53</v>
      </c>
    </row>
    <row r="145" spans="1:6" x14ac:dyDescent="0.3">
      <c r="A145" s="5" t="s">
        <v>4</v>
      </c>
      <c r="B145" s="10">
        <f>SLOPE(J9:J16,B9:B16)</f>
        <v>0.24467006203867489</v>
      </c>
      <c r="C145" s="6">
        <f>INTERCEPT(J9:J16,B9:B16)</f>
        <v>92008234.061859533</v>
      </c>
      <c r="D145" s="11">
        <f>RSQ(J9:J16,B9:B16)</f>
        <v>3.5633442959300628E-4</v>
      </c>
      <c r="E145" s="11">
        <f>CORREL(J9:J16,B9:B16)</f>
        <v>1.8876822550233565E-2</v>
      </c>
      <c r="F145" s="5" t="str">
        <f>IF(D145&gt;=0.7,"강한 영향",IF(D145&gt;=0.4,"보통 영향","약한 영향"))</f>
        <v>약한 영향</v>
      </c>
    </row>
    <row r="146" spans="1:6" x14ac:dyDescent="0.3">
      <c r="A146" s="5" t="s">
        <v>5</v>
      </c>
      <c r="B146" s="10">
        <f>SLOPE(J9:J16,C9:C16)</f>
        <v>2.0084265378341652</v>
      </c>
      <c r="C146" s="6">
        <f>INTERCEPT(J9:J16,C9:C16)</f>
        <v>75581489.683551908</v>
      </c>
      <c r="D146" s="11">
        <f>RSQ(J9:J16,C9:C16)</f>
        <v>0.88913859803169626</v>
      </c>
      <c r="E146" s="11">
        <f>CORREL(J9:J16,C9:C16)</f>
        <v>0.94294146055399264</v>
      </c>
      <c r="F146" s="5" t="str">
        <f>IF(D146&gt;=0.7,"강한 영향",IF(D146&gt;=0.4,"보통 영향","약한 영향"))</f>
        <v>강한 영향</v>
      </c>
    </row>
    <row r="147" spans="1:6" x14ac:dyDescent="0.3">
      <c r="A147" s="5" t="s">
        <v>6</v>
      </c>
      <c r="B147" s="10">
        <f>SLOPE(J9:J16,D9:D16)</f>
        <v>3.6214399777667614</v>
      </c>
      <c r="C147" s="6">
        <f>INTERCEPT(J9:J16,D9:D16)</f>
        <v>71735864.376868427</v>
      </c>
      <c r="D147" s="11">
        <f>RSQ(J9:J16,D9:D16)</f>
        <v>0.40158213275820609</v>
      </c>
      <c r="E147" s="11">
        <f>CORREL(J9:J16,D9:D16)</f>
        <v>0.63370508342462128</v>
      </c>
      <c r="F147" s="5" t="str">
        <f>IF(D147&gt;=0.7,"강한 영향",IF(D147&gt;=0.4,"보통 영향","약한 영향"))</f>
        <v>보통 영향</v>
      </c>
    </row>
    <row r="148" spans="1:6" x14ac:dyDescent="0.3">
      <c r="A148" s="5" t="s">
        <v>7</v>
      </c>
      <c r="B148" s="10">
        <f>SLOPE(J9:J16,E9:E16)</f>
        <v>0.9567200847912245</v>
      </c>
      <c r="C148" s="6">
        <f>INTERCEPT(J9:J16,E9:E16)</f>
        <v>26753279.755615972</v>
      </c>
      <c r="D148" s="11">
        <f>RSQ(J9:J16,E9:E16)</f>
        <v>0.67541598250364998</v>
      </c>
      <c r="E148" s="11">
        <f>CORREL(J9:J16,E9:E16)</f>
        <v>0.82183695615593366</v>
      </c>
      <c r="F148" s="5" t="str">
        <f>IF(D148&gt;=0.7,"강한 영향",IF(D148&gt;=0.4,"보통 영향","약한 영향"))</f>
        <v>보통 영향</v>
      </c>
    </row>
    <row r="149" spans="1:6" x14ac:dyDescent="0.3">
      <c r="A149" s="5" t="s">
        <v>24</v>
      </c>
      <c r="B149" s="10">
        <f>SLOPE(J9:J16,F9:F16)</f>
        <v>-0.93405621017768292</v>
      </c>
      <c r="C149" s="6">
        <f>INTERCEPT(J9:J16,F9:F16)</f>
        <v>95677124.407696828</v>
      </c>
      <c r="D149" s="11">
        <f>RSQ(J9:J16,F9:F16)</f>
        <v>3.0793061843640914E-2</v>
      </c>
      <c r="E149" s="11">
        <f>CORREL(J9:J16,F9:F16)</f>
        <v>-0.17547951972706363</v>
      </c>
      <c r="F149" s="5" t="str">
        <f>IF(D149&gt;=0.7,"강한 영향",IF(D149&gt;=0.4,"보통 영향","약한 영향"))</f>
        <v>약한 영향</v>
      </c>
    </row>
    <row r="150" spans="1:6" x14ac:dyDescent="0.3">
      <c r="A150" s="5" t="s">
        <v>9</v>
      </c>
      <c r="B150" s="10">
        <f>SLOPE(J9:J16,G9:G16)</f>
        <v>5.308895956073072</v>
      </c>
      <c r="C150" s="6">
        <f>INTERCEPT(J9:J16,G9:G16)</f>
        <v>84572672.801570803</v>
      </c>
      <c r="D150" s="11">
        <f>RSQ(J9:J16,G9:G16)</f>
        <v>0.18319306534611926</v>
      </c>
      <c r="E150" s="11">
        <f>CORREL(J9:J16,G9:G16)</f>
        <v>0.42801059022659632</v>
      </c>
      <c r="F150" s="5" t="str">
        <f>IF(D150&gt;=0.7,"강한 영향",IF(D150&gt;=0.4,"보통 영향","약한 영향"))</f>
        <v>약한 영향</v>
      </c>
    </row>
    <row r="153" spans="1:6" x14ac:dyDescent="0.3">
      <c r="A153" s="3" t="s">
        <v>114</v>
      </c>
    </row>
    <row r="155" spans="1:6" x14ac:dyDescent="0.3">
      <c r="A155" s="14" t="s">
        <v>115</v>
      </c>
      <c r="B155" s="14" t="s">
        <v>110</v>
      </c>
      <c r="C155" s="14" t="s">
        <v>111</v>
      </c>
      <c r="D155" s="14" t="s">
        <v>112</v>
      </c>
      <c r="E155" s="14" t="s">
        <v>113</v>
      </c>
      <c r="F155" s="14" t="s">
        <v>53</v>
      </c>
    </row>
    <row r="156" spans="1:6" x14ac:dyDescent="0.3">
      <c r="A156" s="5" t="s">
        <v>10</v>
      </c>
      <c r="B156" s="10">
        <f>SLOPE(J9:J16,H9:H16)</f>
        <v>1.260350040635148</v>
      </c>
      <c r="C156" s="6">
        <f>INTERCEPT(J9:J16,H9:H16)</f>
        <v>91378117.305936798</v>
      </c>
      <c r="D156" s="11">
        <f>RSQ(J9:J16,H9:H16)</f>
        <v>4.15762385990985E-3</v>
      </c>
      <c r="E156" s="11">
        <f>CORREL(J9:J16,H9:H16)</f>
        <v>6.4479639111194267E-2</v>
      </c>
      <c r="F156" s="5" t="str">
        <f>IF(D156&gt;=0.7,"강한 영향",IF(D156&gt;=0.4,"보통 영향","약한 영향"))</f>
        <v>약한 영향</v>
      </c>
    </row>
    <row r="157" spans="1:6" x14ac:dyDescent="0.3">
      <c r="A157" s="5" t="s">
        <v>11</v>
      </c>
      <c r="B157" s="10">
        <f>SLOPE(J9:J16,I9:I16)</f>
        <v>-0.91930346113984207</v>
      </c>
      <c r="C157" s="6">
        <f>INTERCEPT(J9:J16,I9:I16)</f>
        <v>94519953.536379144</v>
      </c>
      <c r="D157" s="11">
        <f>RSQ(J9:J16,I9:I16)</f>
        <v>0.24440557333541033</v>
      </c>
      <c r="E157" s="11">
        <f>CORREL(J9:J16,I9:I16)</f>
        <v>-0.49437392056560836</v>
      </c>
      <c r="F157" s="5" t="str">
        <f>IF(D157&gt;=0.7,"강한 영향",IF(D157&gt;=0.4,"보통 영향","약한 영향"))</f>
        <v>약한 영향</v>
      </c>
    </row>
    <row r="160" spans="1:6" x14ac:dyDescent="0.3">
      <c r="A160" s="3" t="s">
        <v>116</v>
      </c>
    </row>
    <row r="162" spans="1:1" x14ac:dyDescent="0.3">
      <c r="A162" s="9" t="s">
        <v>117</v>
      </c>
    </row>
    <row r="163" spans="1:1" x14ac:dyDescent="0.3">
      <c r="A163" t="e" cm="1">
        <f t="array" ref="A163">- THE_BELLE_SIGNATURE: 총매출에 가장 큰 영향력</f>
        <v>#NAME?</v>
      </c>
    </row>
    <row r="164" spans="1:1" x14ac:dyDescent="0.3">
      <c r="A164" t="e" cm="1">
        <f t="array" ref="A164">- FACE: 두 번째로 높은 상관관계</f>
        <v>#NAME?</v>
      </c>
    </row>
    <row r="165" spans="1:1" x14ac:dyDescent="0.3">
      <c r="A165" t="e" cm="1">
        <f t="array" ref="A165">- 프로모션: 매출과의 관계가 음의 상관 가능성 (초기 높음 후 감소)</f>
        <v>#NAME?</v>
      </c>
    </row>
    <row r="167" spans="1:1" x14ac:dyDescent="0.3">
      <c r="A167" s="9" t="s">
        <v>118</v>
      </c>
    </row>
    <row r="168" spans="1:1" x14ac:dyDescent="0.3">
      <c r="A168" t="e" cm="1">
        <f t="array" ref="A168">- THE_BELLE_SIGNATURE * FACE: 시너지 효과 기대</f>
        <v>#NAME?</v>
      </c>
    </row>
    <row r="169" spans="1:1" x14ac:dyDescent="0.3">
      <c r="A169" t="e" cm="1">
        <f t="array" ref="A169">- ADD-ON * 시그니처: 크로스셀링 효과 분석 필요</f>
        <v>#NAME?</v>
      </c>
    </row>
    <row r="170" spans="1:1" x14ac:dyDescent="0.3">
      <c r="A170" t="e" cm="1">
        <f t="array" ref="A170">- ADD-ON * 시그니처: 크로스셀링 효과 분석 필요</f>
        <v>#NAME?</v>
      </c>
    </row>
    <row r="171" spans="1:1" x14ac:dyDescent="0.3">
      <c r="A171" s="3" t="s">
        <v>119</v>
      </c>
    </row>
    <row r="172" spans="1:1" x14ac:dyDescent="0.3">
      <c r="A172" s="9" t="s">
        <v>120</v>
      </c>
    </row>
    <row r="173" spans="1:1" x14ac:dyDescent="0.3">
      <c r="A173" t="e">
        <f>- 항등식 구조로 다중공선성 존재, 단순회귀로 분석</f>
        <v>#NAME?</v>
      </c>
    </row>
    <row r="174" spans="1:1" x14ac:dyDescent="0.3">
      <c r="A174" t="e" cm="1">
        <f t="array" ref="A174">- 항등식 구조: 독립변수 합 = 종속변수이므로 완벽한 다중공선성 존재</f>
        <v>#NAME?</v>
      </c>
    </row>
    <row r="175" spans="1:1" x14ac:dyDescent="0.3">
      <c r="A175" t="e" cm="1">
        <f t="array" ref="A175">- 단순회귀로 개별 변수의 상대적 기여도 해석에 집중</f>
        <v>#NAME?</v>
      </c>
    </row>
    <row r="176" spans="1:1" x14ac:dyDescent="0.3">
      <c r="A176" s="3" t="s">
        <v>121</v>
      </c>
    </row>
    <row r="178" spans="1:3" x14ac:dyDescent="0.3">
      <c r="A178" s="4" t="s">
        <v>51</v>
      </c>
      <c r="B178" s="4" t="s">
        <v>52</v>
      </c>
      <c r="C178" s="4" t="s">
        <v>122</v>
      </c>
    </row>
    <row r="179" spans="1:3" x14ac:dyDescent="0.3">
      <c r="A179" s="5" t="s">
        <v>123</v>
      </c>
      <c r="B179" s="5">
        <v>8</v>
      </c>
      <c r="C179" s="5" t="s">
        <v>124</v>
      </c>
    </row>
    <row r="180" spans="1:3" x14ac:dyDescent="0.3">
      <c r="A180" s="5" t="s">
        <v>125</v>
      </c>
      <c r="B180" s="5">
        <v>8</v>
      </c>
      <c r="C180" s="5" t="s">
        <v>126</v>
      </c>
    </row>
    <row r="181" spans="1:3" x14ac:dyDescent="0.3">
      <c r="A181" s="5" t="s">
        <v>127</v>
      </c>
      <c r="B181" s="6">
        <f>AVERAGE(J9:J16)</f>
        <v>92400706.25</v>
      </c>
      <c r="C181" s="5" t="s">
        <v>128</v>
      </c>
    </row>
    <row r="182" spans="1:3" x14ac:dyDescent="0.3">
      <c r="A182" s="5" t="s">
        <v>129</v>
      </c>
      <c r="B182" s="6">
        <f>STDEV(J9:J16)</f>
        <v>9692532.4244248364</v>
      </c>
      <c r="C182" s="5" t="s">
        <v>130</v>
      </c>
    </row>
    <row r="183" spans="1:3" x14ac:dyDescent="0.3">
      <c r="A183" s="5" t="s">
        <v>131</v>
      </c>
      <c r="B183" s="7">
        <f>B182/B181*100</f>
        <v>10.489673529334995</v>
      </c>
      <c r="C183" s="5" t="s">
        <v>132</v>
      </c>
    </row>
    <row r="184" spans="1:3" x14ac:dyDescent="0.3">
      <c r="A184" s="5" t="s">
        <v>133</v>
      </c>
      <c r="B184" s="5" t="s">
        <v>7</v>
      </c>
      <c r="C184" s="5" t="s">
        <v>134</v>
      </c>
    </row>
    <row r="187" spans="1:3" x14ac:dyDescent="0.3">
      <c r="A187" s="3" t="s">
        <v>135</v>
      </c>
    </row>
    <row r="189" spans="1:3" x14ac:dyDescent="0.3">
      <c r="A189" s="4" t="s">
        <v>136</v>
      </c>
      <c r="B189" s="4" t="s">
        <v>137</v>
      </c>
      <c r="C189" s="4" t="s">
        <v>138</v>
      </c>
    </row>
    <row r="190" spans="1:3" x14ac:dyDescent="0.3">
      <c r="A190" s="5" t="s">
        <v>139</v>
      </c>
      <c r="B190" s="5" t="s">
        <v>140</v>
      </c>
      <c r="C190" s="5" t="s">
        <v>141</v>
      </c>
    </row>
    <row r="191" spans="1:3" x14ac:dyDescent="0.3">
      <c r="A191" s="5" t="s">
        <v>142</v>
      </c>
      <c r="B191" s="5" t="s">
        <v>143</v>
      </c>
      <c r="C191" s="5" t="s">
        <v>144</v>
      </c>
    </row>
    <row r="192" spans="1:3" x14ac:dyDescent="0.3">
      <c r="A192" s="5" t="s">
        <v>145</v>
      </c>
      <c r="B192" s="5" t="s">
        <v>146</v>
      </c>
      <c r="C192" s="5" t="s">
        <v>147</v>
      </c>
    </row>
    <row r="193" spans="1:3" x14ac:dyDescent="0.3">
      <c r="A193" s="5" t="s">
        <v>148</v>
      </c>
      <c r="B193" s="5" t="s">
        <v>149</v>
      </c>
      <c r="C193" s="5" t="s">
        <v>150</v>
      </c>
    </row>
    <row r="194" spans="1:3" x14ac:dyDescent="0.3">
      <c r="A194" s="5" t="s">
        <v>151</v>
      </c>
      <c r="B194" s="5" t="s">
        <v>152</v>
      </c>
      <c r="C194" s="5" t="s">
        <v>153</v>
      </c>
    </row>
    <row r="195" spans="1:3" x14ac:dyDescent="0.3">
      <c r="A195" s="5" t="s">
        <v>154</v>
      </c>
      <c r="B195" s="5" t="s">
        <v>155</v>
      </c>
      <c r="C195" s="5" t="s">
        <v>156</v>
      </c>
    </row>
    <row r="199" spans="1:3" ht="20.25" x14ac:dyDescent="0.3">
      <c r="A199" s="2" t="s">
        <v>157</v>
      </c>
    </row>
    <row r="201" spans="1:3" x14ac:dyDescent="0.3">
      <c r="A201" s="3" t="s">
        <v>158</v>
      </c>
    </row>
    <row r="203" spans="1:3" x14ac:dyDescent="0.3">
      <c r="A203" s="4" t="s">
        <v>22</v>
      </c>
      <c r="B203" s="4" t="s">
        <v>159</v>
      </c>
      <c r="C203" s="4" t="s">
        <v>160</v>
      </c>
    </row>
    <row r="204" spans="1:3" x14ac:dyDescent="0.3">
      <c r="A204" s="5" t="s">
        <v>4</v>
      </c>
      <c r="B204" s="6">
        <f>SLOPE(B9:B16,K9:K16)</f>
        <v>-32755.952380952382</v>
      </c>
      <c r="C204" s="5" t="str">
        <f>IF(B204&gt;0,"성장","감소")</f>
        <v>감소</v>
      </c>
    </row>
    <row r="205" spans="1:3" x14ac:dyDescent="0.3">
      <c r="A205" s="5" t="s">
        <v>5</v>
      </c>
      <c r="B205" s="6">
        <f>SLOPE(C9:C16,K9:K16)</f>
        <v>802827.38095238095</v>
      </c>
      <c r="C205" s="5" t="str">
        <f>IF(B205&gt;0,"성장","감소")</f>
        <v>성장</v>
      </c>
    </row>
    <row r="206" spans="1:3" x14ac:dyDescent="0.3">
      <c r="A206" s="5" t="s">
        <v>6</v>
      </c>
      <c r="B206" s="6">
        <f>SLOPE(D9:D16,K9:K16)</f>
        <v>101095.23809523809</v>
      </c>
      <c r="C206" s="5" t="str">
        <f>IF(B206&gt;0,"성장","감소")</f>
        <v>성장</v>
      </c>
    </row>
    <row r="207" spans="1:3" x14ac:dyDescent="0.3">
      <c r="A207" s="5" t="s">
        <v>7</v>
      </c>
      <c r="B207" s="6">
        <f>SLOPE(E9:E16,K9:K16)</f>
        <v>2106013.9880952379</v>
      </c>
      <c r="C207" s="5" t="str">
        <f>IF(B207&gt;0,"성장","감소")</f>
        <v>성장</v>
      </c>
    </row>
    <row r="208" spans="1:3" x14ac:dyDescent="0.3">
      <c r="A208" s="5" t="s">
        <v>8</v>
      </c>
      <c r="B208" s="6">
        <f>SLOPE(F9:F16,K9:K16)</f>
        <v>425439.88095238095</v>
      </c>
      <c r="C208" s="5" t="str">
        <f>IF(B208&gt;0,"성장","감소")</f>
        <v>성장</v>
      </c>
    </row>
    <row r="209" spans="1:4" x14ac:dyDescent="0.3">
      <c r="A209" s="5" t="s">
        <v>9</v>
      </c>
      <c r="B209" s="6">
        <f>SLOPE(G9:G16,K9:K16)</f>
        <v>100972.61904761905</v>
      </c>
      <c r="C209" s="5" t="str">
        <f>IF(B209&gt;0,"성장","감소")</f>
        <v>성장</v>
      </c>
    </row>
    <row r="210" spans="1:4" x14ac:dyDescent="0.3">
      <c r="A210" s="5" t="s">
        <v>10</v>
      </c>
      <c r="B210" s="6">
        <f>SLOPE(H9:H16,K9:K16)</f>
        <v>-83509.226190476184</v>
      </c>
      <c r="C210" s="5" t="str">
        <f>IF(B210&gt;0,"성장","감소")</f>
        <v>감소</v>
      </c>
    </row>
    <row r="211" spans="1:4" x14ac:dyDescent="0.3">
      <c r="A211" s="5" t="s">
        <v>11</v>
      </c>
      <c r="B211" s="6">
        <f>SLOPE(I9:I16,K9:K16)</f>
        <v>-1413950</v>
      </c>
      <c r="C211" s="5" t="str">
        <f>IF(B211&gt;0,"성장","감소")</f>
        <v>감소</v>
      </c>
    </row>
    <row r="212" spans="1:4" x14ac:dyDescent="0.3">
      <c r="A212" s="5" t="s">
        <v>12</v>
      </c>
      <c r="B212" s="6">
        <f>SLOPE(J9:J16,K9:K16)</f>
        <v>2006133.9285714286</v>
      </c>
      <c r="C212" s="5" t="str">
        <f>IF(B212&gt;0,"성장","감소")</f>
        <v>성장</v>
      </c>
    </row>
    <row r="215" spans="1:4" x14ac:dyDescent="0.3">
      <c r="A215" s="3" t="s">
        <v>161</v>
      </c>
    </row>
    <row r="217" spans="1:4" x14ac:dyDescent="0.3">
      <c r="A217" s="4" t="s">
        <v>22</v>
      </c>
      <c r="B217" s="4" t="s">
        <v>162</v>
      </c>
      <c r="C217" s="4" t="s">
        <v>163</v>
      </c>
      <c r="D217" s="4" t="s">
        <v>164</v>
      </c>
    </row>
    <row r="218" spans="1:4" x14ac:dyDescent="0.3">
      <c r="A218" s="5" t="s">
        <v>4</v>
      </c>
      <c r="B218" s="7">
        <f>C22</f>
        <v>74.260440920601738</v>
      </c>
      <c r="C218" s="6">
        <f>B204</f>
        <v>-32755.952380952382</v>
      </c>
      <c r="D218" s="5" t="str">
        <f>IF(AND(B218&gt;=10,C218&gt;0),"★ Star",IF(AND(B218&gt;=10,C218&lt;=0),"💰 Cash Cow",IF(AND(B218&lt;10,C218&gt;0),"❓ Question Mark","🐕 Dog")))</f>
        <v>💰 Cash Cow</v>
      </c>
    </row>
    <row r="219" spans="1:4" x14ac:dyDescent="0.3">
      <c r="A219" s="5" t="s">
        <v>5</v>
      </c>
      <c r="B219" s="7">
        <f>C23</f>
        <v>9.0630530218485195</v>
      </c>
      <c r="C219" s="6">
        <f>B205</f>
        <v>802827.38095238095</v>
      </c>
      <c r="D219" s="5" t="str">
        <f>IF(AND(B219&gt;=10,C219&gt;0),"★ Star",IF(AND(B219&gt;=10,C219&lt;=0),"💰 Cash Cow",IF(AND(B219&lt;10,C219&gt;0),"❓ Question Mark","🐕 Dog")))</f>
        <v>❓ Question Mark</v>
      </c>
    </row>
    <row r="220" spans="1:4" x14ac:dyDescent="0.3">
      <c r="A220" s="5" t="s">
        <v>6</v>
      </c>
      <c r="B220" s="7">
        <f>C24</f>
        <v>6.1755480359220734</v>
      </c>
      <c r="C220" s="6">
        <f>B206</f>
        <v>101095.23809523809</v>
      </c>
      <c r="D220" s="5" t="str">
        <f>IF(AND(B220&gt;=10,C220&gt;0),"★ Star",IF(AND(B220&gt;=10,C220&lt;=0),"💰 Cash Cow",IF(AND(B220&lt;10,C220&gt;0),"❓ Question Mark","🐕 Dog")))</f>
        <v>❓ Question Mark</v>
      </c>
    </row>
    <row r="221" spans="1:4" x14ac:dyDescent="0.3">
      <c r="A221" s="5" t="s">
        <v>7</v>
      </c>
      <c r="B221" s="7">
        <f>C25</f>
        <v>3.7962169255605667</v>
      </c>
      <c r="C221" s="6">
        <f>B207</f>
        <v>2106013.9880952379</v>
      </c>
      <c r="D221" s="5" t="str">
        <f>IF(AND(B221&gt;=10,C221&gt;0),"★ Star",IF(AND(B221&gt;=10,C221&lt;=0),"💰 Cash Cow",IF(AND(B221&lt;10,C221&gt;0),"❓ Question Mark","🐕 Dog")))</f>
        <v>❓ Question Mark</v>
      </c>
    </row>
    <row r="222" spans="1:4" x14ac:dyDescent="0.3">
      <c r="A222" s="5" t="s">
        <v>8</v>
      </c>
      <c r="B222" s="7">
        <f>C26</f>
        <v>2.4948672943720061</v>
      </c>
      <c r="C222" s="6">
        <f>B208</f>
        <v>425439.88095238095</v>
      </c>
      <c r="D222" s="5" t="str">
        <f>IF(AND(B222&gt;=10,C222&gt;0),"★ Star",IF(AND(B222&gt;=10,C222&lt;=0),"💰 Cash Cow",IF(AND(B222&lt;10,C222&gt;0),"❓ Question Mark","🐕 Dog")))</f>
        <v>❓ Question Mark</v>
      </c>
    </row>
    <row r="223" spans="1:4" x14ac:dyDescent="0.3">
      <c r="A223" s="5" t="s">
        <v>9</v>
      </c>
      <c r="B223" s="7">
        <f>C27</f>
        <v>1.595780551731443</v>
      </c>
      <c r="C223" s="6">
        <f>B209</f>
        <v>100972.61904761905</v>
      </c>
      <c r="D223" s="5" t="str">
        <f>IF(AND(B223&gt;=10,C223&gt;0),"★ Star",IF(AND(B223&gt;=10,C223&lt;=0),"💰 Cash Cow",IF(AND(B223&lt;10,C223&gt;0),"❓ Question Mark","🐕 Dog")))</f>
        <v>❓ Question Mark</v>
      </c>
    </row>
    <row r="224" spans="1:4" x14ac:dyDescent="0.3">
      <c r="A224" s="5" t="s">
        <v>10</v>
      </c>
      <c r="B224" s="7">
        <f>C28</f>
        <v>1.7360121638680657</v>
      </c>
      <c r="C224" s="6">
        <f>B210</f>
        <v>-83509.226190476184</v>
      </c>
      <c r="D224" s="5" t="str">
        <f>IF(AND(B224&gt;=10,C224&gt;0),"★ Star",IF(AND(B224&gt;=10,C224&lt;=0),"💰 Cash Cow",IF(AND(B224&lt;10,C224&gt;0),"❓ Question Mark","🐕 Dog")))</f>
        <v>🐕 Dog</v>
      </c>
    </row>
    <row r="225" spans="1:4" x14ac:dyDescent="0.3">
      <c r="A225" s="5" t="s">
        <v>11</v>
      </c>
      <c r="B225" s="7">
        <f>C29</f>
        <v>0.87808108609559476</v>
      </c>
      <c r="C225" s="6">
        <f>B211</f>
        <v>-1413950</v>
      </c>
      <c r="D225" s="5" t="str">
        <f>IF(AND(B225&gt;=10,C225&gt;0),"★ Star",IF(AND(B225&gt;=10,C225&lt;=0),"💰 Cash Cow",IF(AND(B225&lt;10,C225&gt;0),"❓ Question Mark","🐕 Dog")))</f>
        <v>🐕 Dog</v>
      </c>
    </row>
    <row r="228" spans="1:4" x14ac:dyDescent="0.3">
      <c r="A228" s="3" t="s">
        <v>165</v>
      </c>
    </row>
    <row r="230" spans="1:4" x14ac:dyDescent="0.3">
      <c r="A230" s="15" t="s">
        <v>166</v>
      </c>
      <c r="B230" s="15" t="s">
        <v>167</v>
      </c>
      <c r="C230" s="15" t="s">
        <v>93</v>
      </c>
      <c r="D230" s="15" t="s">
        <v>168</v>
      </c>
    </row>
    <row r="231" spans="1:4" x14ac:dyDescent="0.3">
      <c r="A231" s="5">
        <v>1</v>
      </c>
      <c r="B231" s="5" t="s">
        <v>169</v>
      </c>
      <c r="C231" s="5" t="s">
        <v>170</v>
      </c>
      <c r="D231" s="5" t="s">
        <v>171</v>
      </c>
    </row>
    <row r="232" spans="1:4" x14ac:dyDescent="0.3">
      <c r="A232" s="5">
        <v>2</v>
      </c>
      <c r="B232" s="5" t="s">
        <v>172</v>
      </c>
      <c r="C232" s="5" t="s">
        <v>173</v>
      </c>
      <c r="D232" s="5" t="s">
        <v>174</v>
      </c>
    </row>
    <row r="233" spans="1:4" x14ac:dyDescent="0.3">
      <c r="A233" s="5">
        <v>3</v>
      </c>
      <c r="B233" s="5" t="s">
        <v>175</v>
      </c>
      <c r="C233" s="5" t="s">
        <v>176</v>
      </c>
      <c r="D233" s="5" t="s">
        <v>177</v>
      </c>
    </row>
    <row r="234" spans="1:4" x14ac:dyDescent="0.3">
      <c r="A234" s="5">
        <v>4</v>
      </c>
      <c r="B234" s="5" t="s">
        <v>178</v>
      </c>
      <c r="C234" s="5" t="s">
        <v>179</v>
      </c>
      <c r="D234" s="5" t="s">
        <v>180</v>
      </c>
    </row>
    <row r="235" spans="1:4" x14ac:dyDescent="0.3">
      <c r="A235" s="5">
        <v>5</v>
      </c>
      <c r="B235" s="5" t="s">
        <v>181</v>
      </c>
      <c r="C235" s="5" t="s">
        <v>182</v>
      </c>
      <c r="D235" s="5" t="s">
        <v>183</v>
      </c>
    </row>
    <row r="236" spans="1:4" x14ac:dyDescent="0.3">
      <c r="A236" s="5">
        <v>6</v>
      </c>
      <c r="B236" s="5" t="s">
        <v>184</v>
      </c>
      <c r="C236" s="5" t="s">
        <v>185</v>
      </c>
      <c r="D236" s="5" t="s">
        <v>186</v>
      </c>
    </row>
    <row r="241" spans="1:1" x14ac:dyDescent="0.3">
      <c r="A241" t="s">
        <v>187</v>
      </c>
    </row>
    <row r="242" spans="1:1" x14ac:dyDescent="0.3">
      <c r="A242" s="16" t="s">
        <v>188</v>
      </c>
    </row>
    <row r="243" spans="1:1" x14ac:dyDescent="0.3">
      <c r="A243" s="16" t="s">
        <v>189</v>
      </c>
    </row>
    <row r="244" spans="1:1" x14ac:dyDescent="0.3">
      <c r="A244" s="16" t="s">
        <v>190</v>
      </c>
    </row>
    <row r="245" spans="1:1" x14ac:dyDescent="0.3">
      <c r="A245" t="s">
        <v>187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Shin</dc:creator>
  <cp:lastModifiedBy>Bc Shin</cp:lastModifiedBy>
  <dcterms:created xsi:type="dcterms:W3CDTF">2026-05-06T10:47:06Z</dcterms:created>
  <dcterms:modified xsi:type="dcterms:W3CDTF">2026-05-06T10:47:45Z</dcterms:modified>
</cp:coreProperties>
</file>